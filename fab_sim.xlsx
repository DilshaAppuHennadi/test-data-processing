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W:\dilshaappuhennadi\Thesis\test-data-processing\"/>
    </mc:Choice>
  </mc:AlternateContent>
  <xr:revisionPtr revIDLastSave="0" documentId="13_ncr:1_{D54E659A-193E-4011-A06D-A1E933AA83E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J2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<sst xmlns="http://schemas.openxmlformats.org/spreadsheetml/2006/main" count="13" uniqueCount="13">
  <si>
    <t>Hz</t>
  </si>
  <si>
    <t>m</t>
  </si>
  <si>
    <t>nm</t>
  </si>
  <si>
    <t>TE_dir</t>
  </si>
  <si>
    <t>TE_adj</t>
  </si>
  <si>
    <t>TM_dir</t>
  </si>
  <si>
    <t>TM_adj</t>
  </si>
  <si>
    <t>TE_dir_dB</t>
  </si>
  <si>
    <t>TE_adj_dB</t>
  </si>
  <si>
    <t>TM_dir_dB</t>
  </si>
  <si>
    <t>TM_adj_dB</t>
  </si>
  <si>
    <t>ER_TE</t>
  </si>
  <si>
    <t>ER_TM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</si>
</sst>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M1" sqref="M1"/>
    </sheetView>
  </sheetViews>
  <sheetFormatPr defaultRowHeight="15" x14ac:dyDescent="0.25"/>
  <cols>
    <col min="3" max="3" width="10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187370000000000</v>
      </c>
      <c r="B2" s="1">
        <f>(3*10^8)/A2</f>
        <v>1.6011101030047499E-6</v>
      </c>
      <c r="C2" s="2">
        <f>B2*10^9</f>
        <v>1601.1101030047498</v>
      </c>
      <c r="D2">
        <v>0.14763799999999999</v>
      </c>
      <c r="E2">
        <v>0.116011</v>
      </c>
      <c r="F2">
        <v>0.13684199999999999</v>
      </c>
      <c r="G2">
        <v>0.46377000000000002</v>
      </c>
      <c r="H2">
        <f>10*LOG10(D2)</f>
        <v>-8.3080184667095516</v>
      </c>
      <c r="I2">
        <f t="shared" ref="I2:K17" si="0">10*LOG10(E2)</f>
        <v>-9.3550082962818308</v>
      </c>
      <c r="J2">
        <f t="shared" si="0"/>
        <v>-8.6378058705481777</v>
      </c>
      <c r="K2">
        <f t="shared" si="0"/>
        <v>-3.3369734809960039</v>
      </c>
      <c r="L2">
        <f>H2-I2</f>
        <v>1.0469898295722793</v>
      </c>
      <c r="M2">
        <f>K2-J2</f>
        <v>5.3008323895521734</v>
      </c>
    </row>
    <row r="3" spans="1:13" x14ac:dyDescent="0.25">
      <c r="A3" s="1">
        <v>187496000000000</v>
      </c>
      <c r="B3" s="1">
        <f t="shared" ref="B3:B66" si="1">(3*10^8)/A3</f>
        <v>1.6000341340615266E-6</v>
      </c>
      <c r="C3" s="2">
        <f t="shared" ref="C3:C66" si="2">B3*10^9</f>
        <v>1600.0341340615266</v>
      </c>
      <c r="D3">
        <v>0.13955000000000001</v>
      </c>
      <c r="E3">
        <v>0.11369</v>
      </c>
      <c r="F3">
        <v>0.135994</v>
      </c>
      <c r="G3">
        <v>0.46587000000000001</v>
      </c>
      <c r="H3">
        <f t="shared" ref="H3:K66" si="3">10*LOG10(D3)</f>
        <v>-8.5527015917535003</v>
      </c>
      <c r="I3">
        <f t="shared" si="0"/>
        <v>-9.442777335164239</v>
      </c>
      <c r="J3">
        <f t="shared" si="0"/>
        <v>-8.6648025210311523</v>
      </c>
      <c r="K3">
        <f t="shared" si="0"/>
        <v>-3.3173525532543908</v>
      </c>
      <c r="L3">
        <f t="shared" ref="L3:L66" si="4">H3-I3</f>
        <v>0.8900757434107387</v>
      </c>
      <c r="M3">
        <f t="shared" ref="M3:M66" si="5">K3-J3</f>
        <v>5.3474499677767611</v>
      </c>
    </row>
    <row r="4" spans="1:13" x14ac:dyDescent="0.25">
      <c r="A4" s="1">
        <v>187623000000000</v>
      </c>
      <c r="B4" s="1">
        <f t="shared" si="1"/>
        <v>1.5989510880862153E-6</v>
      </c>
      <c r="C4" s="2">
        <f t="shared" si="2"/>
        <v>1598.9510880862153</v>
      </c>
      <c r="D4">
        <v>0.134517</v>
      </c>
      <c r="E4">
        <v>0.113339</v>
      </c>
      <c r="F4">
        <v>0.13513600000000001</v>
      </c>
      <c r="G4">
        <v>0.467974</v>
      </c>
      <c r="H4">
        <f t="shared" si="3"/>
        <v>-8.7122282689095893</v>
      </c>
      <c r="I4">
        <f t="shared" si="0"/>
        <v>-9.4562062349616216</v>
      </c>
      <c r="J4">
        <f t="shared" si="0"/>
        <v>-8.6922894025518627</v>
      </c>
      <c r="K4">
        <f t="shared" si="0"/>
        <v>-3.2977827506732513</v>
      </c>
      <c r="L4">
        <f t="shared" si="4"/>
        <v>0.74397796605203226</v>
      </c>
      <c r="M4">
        <f t="shared" si="5"/>
        <v>5.3945066518786113</v>
      </c>
    </row>
    <row r="5" spans="1:13" x14ac:dyDescent="0.25">
      <c r="A5" s="1">
        <v>187749000000000</v>
      </c>
      <c r="B5" s="1">
        <f t="shared" si="1"/>
        <v>1.5978780179921066E-6</v>
      </c>
      <c r="C5" s="2">
        <f t="shared" si="2"/>
        <v>1597.8780179921066</v>
      </c>
      <c r="D5">
        <v>0.13200500000000001</v>
      </c>
      <c r="E5">
        <v>0.11379499999999999</v>
      </c>
      <c r="F5">
        <v>0.134272</v>
      </c>
      <c r="G5">
        <v>0.47008100000000003</v>
      </c>
      <c r="H5">
        <f t="shared" si="3"/>
        <v>-8.7940961855714868</v>
      </c>
      <c r="I5">
        <f t="shared" si="0"/>
        <v>-9.438768198400215</v>
      </c>
      <c r="J5">
        <f t="shared" si="0"/>
        <v>-8.7201454215857375</v>
      </c>
      <c r="K5">
        <f t="shared" si="0"/>
        <v>-3.2782730201726267</v>
      </c>
      <c r="L5">
        <f t="shared" si="4"/>
        <v>0.64467201282872821</v>
      </c>
      <c r="M5">
        <f t="shared" si="5"/>
        <v>5.4418724014131108</v>
      </c>
    </row>
    <row r="6" spans="1:13" x14ac:dyDescent="0.25">
      <c r="A6" s="1">
        <v>187875000000000</v>
      </c>
      <c r="B6" s="1">
        <f t="shared" si="1"/>
        <v>1.5968063872255489E-6</v>
      </c>
      <c r="C6" s="2">
        <f t="shared" si="2"/>
        <v>1596.8063872255489</v>
      </c>
      <c r="D6">
        <v>0.132546</v>
      </c>
      <c r="E6">
        <v>0.115505</v>
      </c>
      <c r="F6">
        <v>0.133406</v>
      </c>
      <c r="G6">
        <v>0.47219</v>
      </c>
      <c r="H6">
        <f t="shared" si="3"/>
        <v>-8.7763337395985648</v>
      </c>
      <c r="I6">
        <f t="shared" si="0"/>
        <v>-9.3739921555184296</v>
      </c>
      <c r="J6">
        <f t="shared" si="0"/>
        <v>-8.7482463737379721</v>
      </c>
      <c r="K6">
        <f t="shared" si="0"/>
        <v>-3.2588321461181522</v>
      </c>
      <c r="L6">
        <f t="shared" si="4"/>
        <v>0.59765841591986479</v>
      </c>
      <c r="M6">
        <f t="shared" si="5"/>
        <v>5.4894142276198199</v>
      </c>
    </row>
    <row r="7" spans="1:13" x14ac:dyDescent="0.25">
      <c r="A7" s="1">
        <v>188001000000000</v>
      </c>
      <c r="B7" s="1">
        <f t="shared" si="1"/>
        <v>1.5957361928925911E-6</v>
      </c>
      <c r="C7" s="2">
        <f t="shared" si="2"/>
        <v>1595.7361928925911</v>
      </c>
      <c r="D7">
        <v>0.134909</v>
      </c>
      <c r="E7">
        <v>0.117284</v>
      </c>
      <c r="F7">
        <v>0.132544</v>
      </c>
      <c r="G7">
        <v>0.47429700000000002</v>
      </c>
      <c r="H7">
        <f t="shared" si="3"/>
        <v>-8.6995907686658356</v>
      </c>
      <c r="I7">
        <f t="shared" si="0"/>
        <v>-9.307612307290059</v>
      </c>
      <c r="J7">
        <f t="shared" si="0"/>
        <v>-8.7763992712266017</v>
      </c>
      <c r="K7">
        <f t="shared" si="0"/>
        <v>-3.2394962231748581</v>
      </c>
      <c r="L7">
        <f t="shared" si="4"/>
        <v>0.60802153862422337</v>
      </c>
      <c r="M7">
        <f t="shared" si="5"/>
        <v>5.5369030480517436</v>
      </c>
    </row>
    <row r="8" spans="1:13" x14ac:dyDescent="0.25">
      <c r="A8" s="1">
        <v>188127000000000</v>
      </c>
      <c r="B8" s="1">
        <f t="shared" si="1"/>
        <v>1.594667432107034E-6</v>
      </c>
      <c r="C8" s="2">
        <f t="shared" si="2"/>
        <v>1594.6674321070341</v>
      </c>
      <c r="D8">
        <v>0.13885400000000001</v>
      </c>
      <c r="E8">
        <v>0.119919</v>
      </c>
      <c r="F8">
        <v>0.131692</v>
      </c>
      <c r="G8">
        <v>0.47639700000000001</v>
      </c>
      <c r="H8">
        <f t="shared" si="3"/>
        <v>-8.5744160490972128</v>
      </c>
      <c r="I8">
        <f t="shared" si="0"/>
        <v>-9.2111200170991605</v>
      </c>
      <c r="J8">
        <f t="shared" si="0"/>
        <v>-8.8044060667362114</v>
      </c>
      <c r="K8">
        <f t="shared" si="0"/>
        <v>-3.2203098204977225</v>
      </c>
      <c r="L8">
        <f t="shared" si="4"/>
        <v>0.63670396800194773</v>
      </c>
      <c r="M8">
        <f t="shared" si="5"/>
        <v>5.5840962462384889</v>
      </c>
    </row>
    <row r="9" spans="1:13" x14ac:dyDescent="0.25">
      <c r="A9" s="1">
        <v>188254000000000</v>
      </c>
      <c r="B9" s="1">
        <f t="shared" si="1"/>
        <v>1.5935916368310899E-6</v>
      </c>
      <c r="C9" s="2">
        <f t="shared" si="2"/>
        <v>1593.59163683109</v>
      </c>
      <c r="D9">
        <v>0.14344599999999999</v>
      </c>
      <c r="E9">
        <v>0.12237099999999999</v>
      </c>
      <c r="F9">
        <v>0.130857</v>
      </c>
      <c r="G9">
        <v>0.47848299999999999</v>
      </c>
      <c r="H9">
        <f t="shared" si="3"/>
        <v>-8.4331155757586398</v>
      </c>
      <c r="I9">
        <f t="shared" si="0"/>
        <v>-9.1232149095035258</v>
      </c>
      <c r="J9">
        <f t="shared" si="0"/>
        <v>-8.8320304046727873</v>
      </c>
      <c r="K9">
        <f t="shared" si="0"/>
        <v>-3.2013348764125684</v>
      </c>
      <c r="L9">
        <f t="shared" si="4"/>
        <v>0.69009933374488597</v>
      </c>
      <c r="M9">
        <f t="shared" si="5"/>
        <v>5.6306955282602189</v>
      </c>
    </row>
    <row r="10" spans="1:13" x14ac:dyDescent="0.25">
      <c r="A10" s="1">
        <v>188380000000000</v>
      </c>
      <c r="B10" s="1">
        <f t="shared" si="1"/>
        <v>1.592525745832891E-6</v>
      </c>
      <c r="C10" s="2">
        <f t="shared" si="2"/>
        <v>1592.5257458328911</v>
      </c>
      <c r="D10">
        <v>0.148281</v>
      </c>
      <c r="E10">
        <v>0.125529</v>
      </c>
      <c r="F10">
        <v>0.13004599999999999</v>
      </c>
      <c r="G10">
        <v>0.480549</v>
      </c>
      <c r="H10">
        <f t="shared" si="3"/>
        <v>-8.2891449377130133</v>
      </c>
      <c r="I10">
        <f t="shared" si="0"/>
        <v>-9.0125593087574565</v>
      </c>
      <c r="J10">
        <f t="shared" si="0"/>
        <v>-8.8590300144306973</v>
      </c>
      <c r="K10">
        <f t="shared" si="0"/>
        <v>-3.1826232215853949</v>
      </c>
      <c r="L10">
        <f t="shared" si="4"/>
        <v>0.72341437104444317</v>
      </c>
      <c r="M10">
        <f t="shared" si="5"/>
        <v>5.6764067928453024</v>
      </c>
    </row>
    <row r="11" spans="1:13" x14ac:dyDescent="0.25">
      <c r="A11" s="1">
        <v>188506000000000</v>
      </c>
      <c r="B11" s="1">
        <f t="shared" si="1"/>
        <v>1.5914612797470638E-6</v>
      </c>
      <c r="C11" s="2">
        <f t="shared" si="2"/>
        <v>1591.4612797470638</v>
      </c>
      <c r="D11">
        <v>0.15326000000000001</v>
      </c>
      <c r="E11">
        <v>0.128548</v>
      </c>
      <c r="F11">
        <v>0.12926299999999999</v>
      </c>
      <c r="G11">
        <v>0.48258899999999999</v>
      </c>
      <c r="H11">
        <f t="shared" si="3"/>
        <v>-8.1457117877933243</v>
      </c>
      <c r="I11">
        <f t="shared" si="0"/>
        <v>-8.9093467589176001</v>
      </c>
      <c r="J11">
        <f t="shared" si="0"/>
        <v>-8.8852576897402518</v>
      </c>
      <c r="K11">
        <f t="shared" si="0"/>
        <v>-3.1642258150254596</v>
      </c>
      <c r="L11">
        <f t="shared" si="4"/>
        <v>0.76363497112427581</v>
      </c>
      <c r="M11">
        <f t="shared" si="5"/>
        <v>5.7210318747147921</v>
      </c>
    </row>
    <row r="12" spans="1:13" x14ac:dyDescent="0.25">
      <c r="A12" s="1">
        <v>188632000000000</v>
      </c>
      <c r="B12" s="1">
        <f t="shared" si="1"/>
        <v>1.5903982357182239E-6</v>
      </c>
      <c r="C12" s="2">
        <f t="shared" si="2"/>
        <v>1590.398235718224</v>
      </c>
      <c r="D12">
        <v>0.15785099999999999</v>
      </c>
      <c r="E12">
        <v>0.13217499999999999</v>
      </c>
      <c r="F12">
        <v>0.12851399999999999</v>
      </c>
      <c r="G12">
        <v>0.48459799999999997</v>
      </c>
      <c r="H12">
        <f t="shared" si="3"/>
        <v>-8.0175266246922181</v>
      </c>
      <c r="I12">
        <f t="shared" si="0"/>
        <v>-8.7885068092285099</v>
      </c>
      <c r="J12">
        <f t="shared" si="0"/>
        <v>-8.9104955877970777</v>
      </c>
      <c r="K12">
        <f t="shared" si="0"/>
        <v>-3.1461838258554566</v>
      </c>
      <c r="L12">
        <f t="shared" si="4"/>
        <v>0.7709801845362918</v>
      </c>
      <c r="M12">
        <f t="shared" si="5"/>
        <v>5.7643117619416211</v>
      </c>
    </row>
    <row r="13" spans="1:13" x14ac:dyDescent="0.25">
      <c r="A13" s="1">
        <v>188758000000000</v>
      </c>
      <c r="B13" s="1">
        <f t="shared" si="1"/>
        <v>1.5893366108986109E-6</v>
      </c>
      <c r="C13" s="2">
        <f t="shared" si="2"/>
        <v>1589.3366108986108</v>
      </c>
      <c r="D13">
        <v>0.16261200000000001</v>
      </c>
      <c r="E13">
        <v>0.135852</v>
      </c>
      <c r="F13">
        <v>0.1278</v>
      </c>
      <c r="G13">
        <v>0.48657299999999998</v>
      </c>
      <c r="H13">
        <f t="shared" si="3"/>
        <v>-7.8884740867131855</v>
      </c>
      <c r="I13">
        <f t="shared" si="0"/>
        <v>-8.6693396355768311</v>
      </c>
      <c r="J13">
        <f t="shared" si="0"/>
        <v>-8.9346914617761861</v>
      </c>
      <c r="K13">
        <f t="shared" si="0"/>
        <v>-3.1285199379472495</v>
      </c>
      <c r="L13">
        <f t="shared" si="4"/>
        <v>0.78086554886364556</v>
      </c>
      <c r="M13">
        <f t="shared" si="5"/>
        <v>5.8061715238289366</v>
      </c>
    </row>
    <row r="14" spans="1:13" x14ac:dyDescent="0.25">
      <c r="A14" s="1">
        <v>188884000000000</v>
      </c>
      <c r="B14" s="1">
        <f t="shared" si="1"/>
        <v>1.5882764024480633E-6</v>
      </c>
      <c r="C14" s="2">
        <f t="shared" si="2"/>
        <v>1588.2764024480634</v>
      </c>
      <c r="D14">
        <v>0.166825</v>
      </c>
      <c r="E14">
        <v>0.139987</v>
      </c>
      <c r="F14">
        <v>0.12712399999999999</v>
      </c>
      <c r="G14">
        <v>0.48851499999999998</v>
      </c>
      <c r="H14">
        <f t="shared" si="3"/>
        <v>-7.7773886647719115</v>
      </c>
      <c r="I14">
        <f t="shared" si="0"/>
        <v>-8.5391229353896705</v>
      </c>
      <c r="J14">
        <f t="shared" si="0"/>
        <v>-8.9577245036174613</v>
      </c>
      <c r="K14">
        <f t="shared" si="0"/>
        <v>-3.1112209659778962</v>
      </c>
      <c r="L14">
        <f t="shared" si="4"/>
        <v>0.761734270617759</v>
      </c>
      <c r="M14">
        <f t="shared" si="5"/>
        <v>5.8465035376395651</v>
      </c>
    </row>
    <row r="15" spans="1:13" x14ac:dyDescent="0.25">
      <c r="A15" s="1">
        <v>189011000000000</v>
      </c>
      <c r="B15" s="1">
        <f t="shared" si="1"/>
        <v>1.5872092100459761E-6</v>
      </c>
      <c r="C15" s="2">
        <f t="shared" si="2"/>
        <v>1587.2092100459761</v>
      </c>
      <c r="D15">
        <v>0.17134199999999999</v>
      </c>
      <c r="E15">
        <v>0.14441200000000001</v>
      </c>
      <c r="F15">
        <v>0.12648400000000001</v>
      </c>
      <c r="G15">
        <v>0.49042599999999997</v>
      </c>
      <c r="H15">
        <f t="shared" si="3"/>
        <v>-7.6613616807661922</v>
      </c>
      <c r="I15">
        <f t="shared" si="0"/>
        <v>-8.4039671731174597</v>
      </c>
      <c r="J15">
        <f t="shared" si="0"/>
        <v>-8.9796440848967887</v>
      </c>
      <c r="K15">
        <f t="shared" si="0"/>
        <v>-3.094265136992461</v>
      </c>
      <c r="L15">
        <f t="shared" si="4"/>
        <v>0.74260549235126749</v>
      </c>
      <c r="M15">
        <f t="shared" si="5"/>
        <v>5.8853789479043277</v>
      </c>
    </row>
    <row r="16" spans="1:13" x14ac:dyDescent="0.25">
      <c r="A16" s="1">
        <v>189137000000000</v>
      </c>
      <c r="B16" s="1">
        <f t="shared" si="1"/>
        <v>1.5861518370281859E-6</v>
      </c>
      <c r="C16" s="2">
        <f t="shared" si="2"/>
        <v>1586.1518370281858</v>
      </c>
      <c r="D16">
        <v>0.17538300000000001</v>
      </c>
      <c r="E16">
        <v>0.14906800000000001</v>
      </c>
      <c r="F16">
        <v>0.12588099999999999</v>
      </c>
      <c r="G16">
        <v>0.49230699999999999</v>
      </c>
      <c r="H16">
        <f t="shared" si="3"/>
        <v>-7.5601250540555887</v>
      </c>
      <c r="I16">
        <f t="shared" si="0"/>
        <v>-8.2661557529264051</v>
      </c>
      <c r="J16">
        <f t="shared" si="0"/>
        <v>-9.0003981570514018</v>
      </c>
      <c r="K16">
        <f t="shared" si="0"/>
        <v>-3.0776398904999418</v>
      </c>
      <c r="L16">
        <f t="shared" si="4"/>
        <v>0.70603069887081649</v>
      </c>
      <c r="M16">
        <f t="shared" si="5"/>
        <v>5.92275826655146</v>
      </c>
    </row>
    <row r="17" spans="1:13" x14ac:dyDescent="0.25">
      <c r="A17" s="1">
        <v>189263000000000</v>
      </c>
      <c r="B17" s="1">
        <f t="shared" si="1"/>
        <v>1.5850958718819843E-6</v>
      </c>
      <c r="C17" s="2">
        <f t="shared" si="2"/>
        <v>1585.0958718819843</v>
      </c>
      <c r="D17">
        <v>0.179729</v>
      </c>
      <c r="E17">
        <v>0.15423400000000001</v>
      </c>
      <c r="F17">
        <v>0.12531200000000001</v>
      </c>
      <c r="G17">
        <v>0.49416500000000002</v>
      </c>
      <c r="H17">
        <f t="shared" si="3"/>
        <v>-7.4538184206837403</v>
      </c>
      <c r="I17">
        <f t="shared" si="0"/>
        <v>-8.118198780054005</v>
      </c>
      <c r="J17">
        <f t="shared" si="0"/>
        <v>-9.0200733854899369</v>
      </c>
      <c r="K17">
        <f t="shared" si="0"/>
        <v>-3.0612801742270208</v>
      </c>
      <c r="L17">
        <f t="shared" si="4"/>
        <v>0.66438035937026463</v>
      </c>
      <c r="M17">
        <f t="shared" si="5"/>
        <v>5.9587932112629165</v>
      </c>
    </row>
    <row r="18" spans="1:13" x14ac:dyDescent="0.25">
      <c r="A18" s="1">
        <v>189389000000000</v>
      </c>
      <c r="B18" s="1">
        <f t="shared" si="1"/>
        <v>1.5840413117974117E-6</v>
      </c>
      <c r="C18" s="2">
        <f t="shared" si="2"/>
        <v>1584.0413117974117</v>
      </c>
      <c r="D18">
        <v>0.18378700000000001</v>
      </c>
      <c r="E18">
        <v>0.159358</v>
      </c>
      <c r="F18">
        <v>0.124776</v>
      </c>
      <c r="G18">
        <v>0.496002</v>
      </c>
      <c r="H18">
        <f t="shared" si="3"/>
        <v>-7.3568521127382596</v>
      </c>
      <c r="I18">
        <f t="shared" si="3"/>
        <v>-7.9762612943753473</v>
      </c>
      <c r="J18">
        <f t="shared" si="3"/>
        <v>-9.0386894085481444</v>
      </c>
      <c r="K18">
        <f t="shared" si="3"/>
        <v>-3.0451657232590614</v>
      </c>
      <c r="L18">
        <f t="shared" si="4"/>
        <v>0.61940918163708769</v>
      </c>
      <c r="M18">
        <f t="shared" si="5"/>
        <v>5.993523685289083</v>
      </c>
    </row>
    <row r="19" spans="1:13" x14ac:dyDescent="0.25">
      <c r="A19" s="1">
        <v>189515000000000</v>
      </c>
      <c r="B19" s="1">
        <f t="shared" si="1"/>
        <v>1.5829881539719811E-6</v>
      </c>
      <c r="C19" s="2">
        <f t="shared" si="2"/>
        <v>1582.9881539719811</v>
      </c>
      <c r="D19">
        <v>0.187967</v>
      </c>
      <c r="E19">
        <v>0.16513900000000001</v>
      </c>
      <c r="F19">
        <v>0.124274</v>
      </c>
      <c r="G19">
        <v>0.49782199999999999</v>
      </c>
      <c r="H19">
        <f t="shared" si="3"/>
        <v>-7.2591838996976144</v>
      </c>
      <c r="I19">
        <f t="shared" si="3"/>
        <v>-7.8215034960444507</v>
      </c>
      <c r="J19">
        <f t="shared" si="3"/>
        <v>-9.0561972282770178</v>
      </c>
      <c r="K19">
        <f t="shared" si="3"/>
        <v>-3.0292591474333443</v>
      </c>
      <c r="L19">
        <f t="shared" si="4"/>
        <v>0.56231959634683637</v>
      </c>
      <c r="M19">
        <f t="shared" si="5"/>
        <v>6.0269380808436734</v>
      </c>
    </row>
    <row r="20" spans="1:13" x14ac:dyDescent="0.25">
      <c r="A20" s="1">
        <v>189641000000000</v>
      </c>
      <c r="B20" s="1">
        <f t="shared" si="1"/>
        <v>1.5819363956106538E-6</v>
      </c>
      <c r="C20" s="2">
        <f t="shared" si="2"/>
        <v>1581.9363956106538</v>
      </c>
      <c r="D20">
        <v>0.19209699999999999</v>
      </c>
      <c r="E20">
        <v>0.17061200000000001</v>
      </c>
      <c r="F20">
        <v>0.123802</v>
      </c>
      <c r="G20">
        <v>0.49962699999999999</v>
      </c>
      <c r="H20">
        <f t="shared" si="3"/>
        <v>-7.1647941751008828</v>
      </c>
      <c r="I20">
        <f t="shared" si="3"/>
        <v>-7.679904259791531</v>
      </c>
      <c r="J20">
        <f t="shared" si="3"/>
        <v>-9.0727233930662941</v>
      </c>
      <c r="K20">
        <f t="shared" si="3"/>
        <v>-3.0135410025352933</v>
      </c>
      <c r="L20">
        <f t="shared" si="4"/>
        <v>0.51511008469064823</v>
      </c>
      <c r="M20">
        <f t="shared" si="5"/>
        <v>6.0591823905310012</v>
      </c>
    </row>
    <row r="21" spans="1:13" x14ac:dyDescent="0.25">
      <c r="A21" s="1">
        <v>189768000000000</v>
      </c>
      <c r="B21" s="1">
        <f t="shared" si="1"/>
        <v>1.5808777033008725E-6</v>
      </c>
      <c r="C21" s="2">
        <f t="shared" si="2"/>
        <v>1580.8777033008726</v>
      </c>
      <c r="D21">
        <v>0.19603899999999999</v>
      </c>
      <c r="E21">
        <v>0.176761</v>
      </c>
      <c r="F21">
        <v>0.123362</v>
      </c>
      <c r="G21">
        <v>0.50141899999999995</v>
      </c>
      <c r="H21">
        <f t="shared" si="3"/>
        <v>-7.0765752150112178</v>
      </c>
      <c r="I21">
        <f t="shared" si="3"/>
        <v>-7.5261355014406526</v>
      </c>
      <c r="J21">
        <f t="shared" si="3"/>
        <v>-9.0881859825937319</v>
      </c>
      <c r="K21">
        <f t="shared" si="3"/>
        <v>-2.9979921357920332</v>
      </c>
      <c r="L21">
        <f t="shared" si="4"/>
        <v>0.4495602864294348</v>
      </c>
      <c r="M21">
        <f t="shared" si="5"/>
        <v>6.0901938468016983</v>
      </c>
    </row>
    <row r="22" spans="1:13" x14ac:dyDescent="0.25">
      <c r="A22" s="1">
        <v>189894000000000</v>
      </c>
      <c r="B22" s="1">
        <f t="shared" si="1"/>
        <v>1.5798287465638726E-6</v>
      </c>
      <c r="C22" s="2">
        <f t="shared" si="2"/>
        <v>1579.8287465638725</v>
      </c>
      <c r="D22">
        <v>0.200151</v>
      </c>
      <c r="E22">
        <v>0.18241199999999999</v>
      </c>
      <c r="F22">
        <v>0.12295200000000001</v>
      </c>
      <c r="G22">
        <v>0.50319800000000003</v>
      </c>
      <c r="H22">
        <f t="shared" si="3"/>
        <v>-6.9864223571927084</v>
      </c>
      <c r="I22">
        <f t="shared" si="3"/>
        <v>-7.3894659494204165</v>
      </c>
      <c r="J22">
        <f t="shared" si="3"/>
        <v>-9.1026440241205293</v>
      </c>
      <c r="K22">
        <f t="shared" si="3"/>
        <v>-2.9826109369690896</v>
      </c>
      <c r="L22">
        <f t="shared" si="4"/>
        <v>0.40304359222770803</v>
      </c>
      <c r="M22">
        <f t="shared" si="5"/>
        <v>6.1200330871514392</v>
      </c>
    </row>
    <row r="23" spans="1:13" x14ac:dyDescent="0.25">
      <c r="A23" s="1">
        <v>190020000000000</v>
      </c>
      <c r="B23" s="1">
        <f t="shared" si="1"/>
        <v>1.5787811809283233E-6</v>
      </c>
      <c r="C23" s="2">
        <f t="shared" si="2"/>
        <v>1578.7811809283232</v>
      </c>
      <c r="D23">
        <v>0.20374900000000001</v>
      </c>
      <c r="E23">
        <v>0.18859600000000001</v>
      </c>
      <c r="F23">
        <v>0.12257</v>
      </c>
      <c r="G23">
        <v>0.50496300000000005</v>
      </c>
      <c r="H23">
        <f t="shared" si="3"/>
        <v>-6.909045140998761</v>
      </c>
      <c r="I23">
        <f t="shared" si="3"/>
        <v>-7.2446752260796767</v>
      </c>
      <c r="J23">
        <f t="shared" si="3"/>
        <v>-9.1161581390229713</v>
      </c>
      <c r="K23">
        <f t="shared" si="3"/>
        <v>-2.9674044264276764</v>
      </c>
      <c r="L23">
        <f t="shared" si="4"/>
        <v>0.33563008508091574</v>
      </c>
      <c r="M23">
        <f t="shared" si="5"/>
        <v>6.1487537125952949</v>
      </c>
    </row>
    <row r="24" spans="1:13" x14ac:dyDescent="0.25">
      <c r="A24" s="1">
        <v>190146000000000</v>
      </c>
      <c r="B24" s="1">
        <f t="shared" si="1"/>
        <v>1.5777350036287904E-6</v>
      </c>
      <c r="C24" s="2">
        <f t="shared" si="2"/>
        <v>1577.7350036287905</v>
      </c>
      <c r="D24">
        <v>0.20765500000000001</v>
      </c>
      <c r="E24">
        <v>0.194221</v>
      </c>
      <c r="F24">
        <v>0.122215</v>
      </c>
      <c r="G24">
        <v>0.50671699999999997</v>
      </c>
      <c r="H24">
        <f t="shared" si="3"/>
        <v>-6.8265760731227054</v>
      </c>
      <c r="I24">
        <f t="shared" si="3"/>
        <v>-7.117038141239683</v>
      </c>
      <c r="J24">
        <f t="shared" si="3"/>
        <v>-9.1287548789509927</v>
      </c>
      <c r="K24">
        <f t="shared" si="3"/>
        <v>-2.9523452518960598</v>
      </c>
      <c r="L24">
        <f t="shared" si="4"/>
        <v>0.29046206811697761</v>
      </c>
      <c r="M24">
        <f t="shared" si="5"/>
        <v>6.1764096270549329</v>
      </c>
    </row>
    <row r="25" spans="1:13" x14ac:dyDescent="0.25">
      <c r="A25" s="1">
        <v>190272000000000</v>
      </c>
      <c r="B25" s="1">
        <f t="shared" si="1"/>
        <v>1.5766902119071645E-6</v>
      </c>
      <c r="C25" s="2">
        <f t="shared" si="2"/>
        <v>1576.6902119071644</v>
      </c>
      <c r="D25">
        <v>0.21082400000000001</v>
      </c>
      <c r="E25">
        <v>0.20008400000000001</v>
      </c>
      <c r="F25">
        <v>0.121882</v>
      </c>
      <c r="G25">
        <v>0.50846100000000005</v>
      </c>
      <c r="H25">
        <f t="shared" si="3"/>
        <v>-6.7607995098194253</v>
      </c>
      <c r="I25">
        <f t="shared" si="3"/>
        <v>-6.9878763894767069</v>
      </c>
      <c r="J25">
        <f t="shared" si="3"/>
        <v>-9.1406042791640303</v>
      </c>
      <c r="K25">
        <f t="shared" si="3"/>
        <v>-2.9374235273995337</v>
      </c>
      <c r="L25">
        <f t="shared" si="4"/>
        <v>0.22707687965728152</v>
      </c>
      <c r="M25">
        <f t="shared" si="5"/>
        <v>6.2031807517644966</v>
      </c>
    </row>
    <row r="26" spans="1:13" x14ac:dyDescent="0.25">
      <c r="A26" s="1">
        <v>190398000000000</v>
      </c>
      <c r="B26" s="1">
        <f t="shared" si="1"/>
        <v>1.5756468030126367E-6</v>
      </c>
      <c r="C26" s="2">
        <f t="shared" si="2"/>
        <v>1575.6468030126368</v>
      </c>
      <c r="D26">
        <v>0.21430099999999999</v>
      </c>
      <c r="E26">
        <v>0.20547699999999999</v>
      </c>
      <c r="F26">
        <v>0.12156699999999999</v>
      </c>
      <c r="G26">
        <v>0.51019800000000004</v>
      </c>
      <c r="H26">
        <f t="shared" si="3"/>
        <v>-6.6897580239042229</v>
      </c>
      <c r="I26">
        <f t="shared" si="3"/>
        <v>-6.8723678367651511</v>
      </c>
      <c r="J26">
        <f t="shared" si="3"/>
        <v>-9.1518430058085656</v>
      </c>
      <c r="K26">
        <f t="shared" si="3"/>
        <v>-2.9226124817755421</v>
      </c>
      <c r="L26">
        <f t="shared" si="4"/>
        <v>0.18260981286092814</v>
      </c>
      <c r="M26">
        <f t="shared" si="5"/>
        <v>6.2292305240330235</v>
      </c>
    </row>
    <row r="27" spans="1:13" x14ac:dyDescent="0.25">
      <c r="A27" s="1">
        <v>190525000000000</v>
      </c>
      <c r="B27" s="1">
        <f t="shared" si="1"/>
        <v>1.5745965096444037E-6</v>
      </c>
      <c r="C27" s="2">
        <f t="shared" si="2"/>
        <v>1574.5965096444036</v>
      </c>
      <c r="D27">
        <v>0.21700900000000001</v>
      </c>
      <c r="E27">
        <v>0.210705</v>
      </c>
      <c r="F27">
        <v>0.121265</v>
      </c>
      <c r="G27">
        <v>0.51193299999999997</v>
      </c>
      <c r="H27">
        <f t="shared" si="3"/>
        <v>-6.6352225431145015</v>
      </c>
      <c r="I27">
        <f t="shared" si="3"/>
        <v>-6.7632515852267838</v>
      </c>
      <c r="J27">
        <f t="shared" si="3"/>
        <v>-9.1626452889635317</v>
      </c>
      <c r="K27">
        <f t="shared" si="3"/>
        <v>-2.9078687424742911</v>
      </c>
      <c r="L27">
        <f t="shared" si="4"/>
        <v>0.12802904211228228</v>
      </c>
      <c r="M27">
        <f t="shared" si="5"/>
        <v>6.2547765464892411</v>
      </c>
    </row>
    <row r="28" spans="1:13" x14ac:dyDescent="0.25">
      <c r="A28" s="1">
        <v>190651000000000</v>
      </c>
      <c r="B28" s="1">
        <f t="shared" si="1"/>
        <v>1.5735558691011325E-6</v>
      </c>
      <c r="C28" s="2">
        <f t="shared" si="2"/>
        <v>1573.5558691011324</v>
      </c>
      <c r="D28">
        <v>0.21987200000000001</v>
      </c>
      <c r="E28">
        <v>0.21568499999999999</v>
      </c>
      <c r="F28">
        <v>0.12096899999999999</v>
      </c>
      <c r="G28">
        <v>0.51366999999999996</v>
      </c>
      <c r="H28">
        <f t="shared" si="3"/>
        <v>-6.578300731391856</v>
      </c>
      <c r="I28">
        <f t="shared" si="3"/>
        <v>-6.6618005723286844</v>
      </c>
      <c r="J28">
        <f t="shared" si="3"/>
        <v>-9.173259094674286</v>
      </c>
      <c r="K28">
        <f t="shared" si="3"/>
        <v>-2.8931579774639058</v>
      </c>
      <c r="L28">
        <f t="shared" si="4"/>
        <v>8.3499840936828384E-2</v>
      </c>
      <c r="M28">
        <f t="shared" si="5"/>
        <v>6.2801011172103802</v>
      </c>
    </row>
    <row r="29" spans="1:13" x14ac:dyDescent="0.25">
      <c r="A29" s="1">
        <v>190777000000000</v>
      </c>
      <c r="B29" s="1">
        <f t="shared" si="1"/>
        <v>1.5725166031544683E-6</v>
      </c>
      <c r="C29" s="2">
        <f t="shared" si="2"/>
        <v>1572.5166031544684</v>
      </c>
      <c r="D29">
        <v>0.22215299999999999</v>
      </c>
      <c r="E29">
        <v>0.22007499999999999</v>
      </c>
      <c r="F29">
        <v>0.120673</v>
      </c>
      <c r="G29">
        <v>0.51541499999999996</v>
      </c>
      <c r="H29">
        <f t="shared" si="3"/>
        <v>-6.5334781758111857</v>
      </c>
      <c r="I29">
        <f t="shared" si="3"/>
        <v>-6.5742928947168409</v>
      </c>
      <c r="J29">
        <f t="shared" si="3"/>
        <v>-9.1838989032291565</v>
      </c>
      <c r="K29">
        <f t="shared" si="3"/>
        <v>-2.8784294643231267</v>
      </c>
      <c r="L29">
        <f t="shared" si="4"/>
        <v>4.0814718905655134E-2</v>
      </c>
      <c r="M29">
        <f t="shared" si="5"/>
        <v>6.3054694389060302</v>
      </c>
    </row>
    <row r="30" spans="1:13" x14ac:dyDescent="0.25">
      <c r="A30" s="1">
        <v>190903000000000</v>
      </c>
      <c r="B30" s="1">
        <f t="shared" si="1"/>
        <v>1.5714787090826231E-6</v>
      </c>
      <c r="C30" s="2">
        <f t="shared" si="2"/>
        <v>1571.478709082623</v>
      </c>
      <c r="D30">
        <v>0.22431100000000001</v>
      </c>
      <c r="E30">
        <v>0.22450400000000001</v>
      </c>
      <c r="F30">
        <v>0.12037200000000001</v>
      </c>
      <c r="G30">
        <v>0.51717100000000005</v>
      </c>
      <c r="H30">
        <f t="shared" si="3"/>
        <v>-6.4914942850279527</v>
      </c>
      <c r="I30">
        <f t="shared" si="3"/>
        <v>-6.4877591674327793</v>
      </c>
      <c r="J30">
        <f t="shared" si="3"/>
        <v>-9.1947452354077388</v>
      </c>
      <c r="K30">
        <f t="shared" si="3"/>
        <v>-2.8636583586643778</v>
      </c>
      <c r="L30">
        <f t="shared" si="4"/>
        <v>-3.7351175951734206E-3</v>
      </c>
      <c r="M30">
        <f t="shared" si="5"/>
        <v>6.3310868767433615</v>
      </c>
    </row>
    <row r="31" spans="1:13" x14ac:dyDescent="0.25">
      <c r="A31" s="1">
        <v>191029000000000</v>
      </c>
      <c r="B31" s="1">
        <f t="shared" si="1"/>
        <v>1.5704421841709896E-6</v>
      </c>
      <c r="C31" s="2">
        <f t="shared" si="2"/>
        <v>1570.4421841709895</v>
      </c>
      <c r="D31">
        <v>0.226247</v>
      </c>
      <c r="E31">
        <v>0.22800100000000001</v>
      </c>
      <c r="F31">
        <v>0.120061</v>
      </c>
      <c r="G31">
        <v>0.51894099999999999</v>
      </c>
      <c r="H31">
        <f t="shared" si="3"/>
        <v>-6.4541717076180296</v>
      </c>
      <c r="I31">
        <f t="shared" si="3"/>
        <v>-6.4206324820336409</v>
      </c>
      <c r="J31">
        <f t="shared" si="3"/>
        <v>-9.2059804368318296</v>
      </c>
      <c r="K31">
        <f t="shared" si="3"/>
        <v>-2.8488201562163322</v>
      </c>
      <c r="L31">
        <f t="shared" si="4"/>
        <v>-3.353922558438871E-2</v>
      </c>
      <c r="M31">
        <f t="shared" si="5"/>
        <v>6.3571602806154974</v>
      </c>
    </row>
    <row r="32" spans="1:13" x14ac:dyDescent="0.25">
      <c r="A32" s="1">
        <v>191156000000000</v>
      </c>
      <c r="B32" s="1">
        <f t="shared" si="1"/>
        <v>1.5693988156270272E-6</v>
      </c>
      <c r="C32" s="2">
        <f t="shared" si="2"/>
        <v>1569.3988156270273</v>
      </c>
      <c r="D32">
        <v>0.22773199999999999</v>
      </c>
      <c r="E32">
        <v>0.231789</v>
      </c>
      <c r="F32">
        <v>0.11973499999999999</v>
      </c>
      <c r="G32">
        <v>0.52072700000000005</v>
      </c>
      <c r="H32">
        <f t="shared" si="3"/>
        <v>-6.4257593975389682</v>
      </c>
      <c r="I32">
        <f t="shared" si="3"/>
        <v>-6.3490717817680489</v>
      </c>
      <c r="J32">
        <f t="shared" si="3"/>
        <v>-9.2177888146466174</v>
      </c>
      <c r="K32">
        <f t="shared" si="3"/>
        <v>-2.8338990331718756</v>
      </c>
      <c r="L32">
        <f t="shared" si="4"/>
        <v>-7.6687615770919315E-2</v>
      </c>
      <c r="M32">
        <f t="shared" si="5"/>
        <v>6.3838897814747417</v>
      </c>
    </row>
    <row r="33" spans="1:13" x14ac:dyDescent="0.25">
      <c r="A33" s="1">
        <v>191282000000000</v>
      </c>
      <c r="B33" s="1">
        <f t="shared" si="1"/>
        <v>1.5683650317332525E-6</v>
      </c>
      <c r="C33" s="2">
        <f t="shared" si="2"/>
        <v>1568.3650317332524</v>
      </c>
      <c r="D33">
        <v>0.22941400000000001</v>
      </c>
      <c r="E33">
        <v>0.23447699999999999</v>
      </c>
      <c r="F33">
        <v>0.119392</v>
      </c>
      <c r="G33">
        <v>0.52252600000000005</v>
      </c>
      <c r="H33">
        <f t="shared" si="3"/>
        <v>-6.3938008278513045</v>
      </c>
      <c r="I33">
        <f t="shared" si="3"/>
        <v>-6.2989975108523213</v>
      </c>
      <c r="J33">
        <f t="shared" si="3"/>
        <v>-9.2302477263926495</v>
      </c>
      <c r="K33">
        <f t="shared" si="3"/>
        <v>-2.8189209492868237</v>
      </c>
      <c r="L33">
        <f t="shared" si="4"/>
        <v>-9.4803316998983256E-2</v>
      </c>
      <c r="M33">
        <f t="shared" si="5"/>
        <v>6.4113267771058258</v>
      </c>
    </row>
    <row r="34" spans="1:13" x14ac:dyDescent="0.25">
      <c r="A34" s="1">
        <v>191408000000000</v>
      </c>
      <c r="B34" s="1">
        <f t="shared" si="1"/>
        <v>1.5673326088773719E-6</v>
      </c>
      <c r="C34" s="2">
        <f t="shared" si="2"/>
        <v>1567.332608877372</v>
      </c>
      <c r="D34">
        <v>0.23037299999999999</v>
      </c>
      <c r="E34">
        <v>0.23757300000000001</v>
      </c>
      <c r="F34">
        <v>0.119029</v>
      </c>
      <c r="G34">
        <v>0.52433799999999997</v>
      </c>
      <c r="H34">
        <f t="shared" si="3"/>
        <v>-6.3756842211572016</v>
      </c>
      <c r="I34">
        <f t="shared" si="3"/>
        <v>-6.2420291814079807</v>
      </c>
      <c r="J34">
        <f t="shared" si="3"/>
        <v>-9.2434721503103532</v>
      </c>
      <c r="K34">
        <f t="shared" si="3"/>
        <v>-2.8038866680985959</v>
      </c>
      <c r="L34">
        <f t="shared" si="4"/>
        <v>-0.13365503974922088</v>
      </c>
      <c r="M34">
        <f t="shared" si="5"/>
        <v>6.4395854822117577</v>
      </c>
    </row>
    <row r="35" spans="1:13" x14ac:dyDescent="0.25">
      <c r="A35" s="1">
        <v>191534000000000</v>
      </c>
      <c r="B35" s="1">
        <f t="shared" si="1"/>
        <v>1.5663015443733228E-6</v>
      </c>
      <c r="C35" s="2">
        <f t="shared" si="2"/>
        <v>1566.3015443733227</v>
      </c>
      <c r="D35">
        <v>0.23187099999999999</v>
      </c>
      <c r="E35">
        <v>0.23963899999999999</v>
      </c>
      <c r="F35">
        <v>0.118644</v>
      </c>
      <c r="G35">
        <v>0.52616099999999999</v>
      </c>
      <c r="H35">
        <f t="shared" si="3"/>
        <v>-6.3475356497796369</v>
      </c>
      <c r="I35">
        <f t="shared" si="3"/>
        <v>-6.2044250136421333</v>
      </c>
      <c r="J35">
        <f t="shared" si="3"/>
        <v>-9.2575421979623371</v>
      </c>
      <c r="K35">
        <f t="shared" si="3"/>
        <v>-2.7888134574574943</v>
      </c>
      <c r="L35">
        <f t="shared" si="4"/>
        <v>-0.14311063613750363</v>
      </c>
      <c r="M35">
        <f t="shared" si="5"/>
        <v>6.4687287405048428</v>
      </c>
    </row>
    <row r="36" spans="1:13" x14ac:dyDescent="0.25">
      <c r="A36" s="1">
        <v>191660000000000</v>
      </c>
      <c r="B36" s="1">
        <f t="shared" si="1"/>
        <v>1.5652718355421058E-6</v>
      </c>
      <c r="C36" s="2">
        <f t="shared" si="2"/>
        <v>1565.2718355421059</v>
      </c>
      <c r="D36">
        <v>0.23253299999999999</v>
      </c>
      <c r="E36">
        <v>0.24202499999999999</v>
      </c>
      <c r="F36">
        <v>0.11823400000000001</v>
      </c>
      <c r="G36">
        <v>0.52799300000000005</v>
      </c>
      <c r="H36">
        <f t="shared" si="3"/>
        <v>-6.335154053507611</v>
      </c>
      <c r="I36">
        <f t="shared" si="3"/>
        <v>-6.16139771204395</v>
      </c>
      <c r="J36">
        <f t="shared" si="3"/>
        <v>-9.2725761745574058</v>
      </c>
      <c r="K36">
        <f t="shared" si="3"/>
        <v>-2.7737183519634949</v>
      </c>
      <c r="L36">
        <f t="shared" si="4"/>
        <v>-0.17375634146366092</v>
      </c>
      <c r="M36">
        <f t="shared" si="5"/>
        <v>6.4988578225939104</v>
      </c>
    </row>
    <row r="37" spans="1:13" x14ac:dyDescent="0.25">
      <c r="A37" s="1">
        <v>191786000000000</v>
      </c>
      <c r="B37" s="1">
        <f t="shared" si="1"/>
        <v>1.5642434797117621E-6</v>
      </c>
      <c r="C37" s="2">
        <f t="shared" si="2"/>
        <v>1564.2434797117621</v>
      </c>
      <c r="D37">
        <v>0.233872</v>
      </c>
      <c r="E37">
        <v>0.24368899999999999</v>
      </c>
      <c r="F37">
        <v>0.117796</v>
      </c>
      <c r="G37">
        <v>0.529833</v>
      </c>
      <c r="H37">
        <f t="shared" si="3"/>
        <v>-6.3102177038152032</v>
      </c>
      <c r="I37">
        <f t="shared" si="3"/>
        <v>-6.1316407420928645</v>
      </c>
      <c r="J37">
        <f t="shared" si="3"/>
        <v>-9.2886945664078446</v>
      </c>
      <c r="K37">
        <f t="shared" si="3"/>
        <v>-2.7586099569606075</v>
      </c>
      <c r="L37">
        <f t="shared" si="4"/>
        <v>-0.17857696172233872</v>
      </c>
      <c r="M37">
        <f t="shared" si="5"/>
        <v>6.5300846094472371</v>
      </c>
    </row>
    <row r="38" spans="1:13" x14ac:dyDescent="0.25">
      <c r="A38" s="1">
        <v>191913000000000</v>
      </c>
      <c r="B38" s="1">
        <f t="shared" si="1"/>
        <v>1.5632083287739758E-6</v>
      </c>
      <c r="C38" s="2">
        <f t="shared" si="2"/>
        <v>1563.2083287739758</v>
      </c>
      <c r="D38">
        <v>0.23449200000000001</v>
      </c>
      <c r="E38">
        <v>0.24537500000000001</v>
      </c>
      <c r="F38">
        <v>0.117328</v>
      </c>
      <c r="G38">
        <v>0.53168400000000005</v>
      </c>
      <c r="H38">
        <f t="shared" si="3"/>
        <v>-6.2987196921806907</v>
      </c>
      <c r="I38">
        <f t="shared" si="3"/>
        <v>-6.1016968739193729</v>
      </c>
      <c r="J38">
        <f t="shared" si="3"/>
        <v>-9.3059833234846465</v>
      </c>
      <c r="K38">
        <f t="shared" si="3"/>
        <v>-2.7434640874029457</v>
      </c>
      <c r="L38">
        <f t="shared" si="4"/>
        <v>-0.19702281826131784</v>
      </c>
      <c r="M38">
        <f t="shared" si="5"/>
        <v>6.5625192360817008</v>
      </c>
    </row>
    <row r="39" spans="1:13" x14ac:dyDescent="0.25">
      <c r="A39" s="1">
        <v>192039000000000</v>
      </c>
      <c r="B39" s="1">
        <f t="shared" si="1"/>
        <v>1.5621826816427913E-6</v>
      </c>
      <c r="C39" s="2">
        <f t="shared" si="2"/>
        <v>1562.1826816427913</v>
      </c>
      <c r="D39">
        <v>0.23565700000000001</v>
      </c>
      <c r="E39">
        <v>0.24682699999999999</v>
      </c>
      <c r="F39">
        <v>0.116825</v>
      </c>
      <c r="G39">
        <v>0.53354999999999997</v>
      </c>
      <c r="H39">
        <f t="shared" si="3"/>
        <v>-6.2771965534749583</v>
      </c>
      <c r="I39">
        <f t="shared" si="3"/>
        <v>-6.0760733528042179</v>
      </c>
      <c r="J39">
        <f t="shared" si="3"/>
        <v>-9.3246421030364921</v>
      </c>
      <c r="K39">
        <f t="shared" si="3"/>
        <v>-2.7282487575853844</v>
      </c>
      <c r="L39">
        <f t="shared" si="4"/>
        <v>-0.20112320067074041</v>
      </c>
      <c r="M39">
        <f t="shared" si="5"/>
        <v>6.5963933454511077</v>
      </c>
    </row>
    <row r="40" spans="1:13" x14ac:dyDescent="0.25">
      <c r="A40" s="1">
        <v>192165000000000</v>
      </c>
      <c r="B40" s="1">
        <f t="shared" si="1"/>
        <v>1.561158379517602E-6</v>
      </c>
      <c r="C40" s="2">
        <f t="shared" si="2"/>
        <v>1561.158379517602</v>
      </c>
      <c r="D40">
        <v>0.23646300000000001</v>
      </c>
      <c r="E40">
        <v>0.247859</v>
      </c>
      <c r="F40">
        <v>0.116284</v>
      </c>
      <c r="G40">
        <v>0.53543600000000002</v>
      </c>
      <c r="H40">
        <f t="shared" si="3"/>
        <v>-6.2623680483287778</v>
      </c>
      <c r="I40">
        <f t="shared" si="3"/>
        <v>-6.0579530681986382</v>
      </c>
      <c r="J40">
        <f t="shared" si="3"/>
        <v>-9.3448003754790268</v>
      </c>
      <c r="K40">
        <f t="shared" si="3"/>
        <v>-2.7129243240993577</v>
      </c>
      <c r="L40">
        <f t="shared" si="4"/>
        <v>-0.20441498013013959</v>
      </c>
      <c r="M40">
        <f t="shared" si="5"/>
        <v>6.6318760513796686</v>
      </c>
    </row>
    <row r="41" spans="1:13" x14ac:dyDescent="0.25">
      <c r="A41" s="1">
        <v>192291000000000</v>
      </c>
      <c r="B41" s="1">
        <f t="shared" si="1"/>
        <v>1.5601354197544346E-6</v>
      </c>
      <c r="C41" s="2">
        <f t="shared" si="2"/>
        <v>1560.1354197544347</v>
      </c>
      <c r="D41">
        <v>0.237425</v>
      </c>
      <c r="E41">
        <v>0.24920100000000001</v>
      </c>
      <c r="F41">
        <v>0.115702</v>
      </c>
      <c r="G41">
        <v>0.53734800000000005</v>
      </c>
      <c r="H41">
        <f t="shared" si="3"/>
        <v>-6.2447355332411121</v>
      </c>
      <c r="I41">
        <f t="shared" si="3"/>
        <v>-6.0345021926162188</v>
      </c>
      <c r="J41">
        <f t="shared" si="3"/>
        <v>-9.3665913386193544</v>
      </c>
      <c r="K41">
        <f t="shared" si="3"/>
        <v>-2.6974436322055566</v>
      </c>
      <c r="L41">
        <f t="shared" si="4"/>
        <v>-0.21023334062489329</v>
      </c>
      <c r="M41">
        <f t="shared" si="5"/>
        <v>6.6691477064137974</v>
      </c>
    </row>
    <row r="42" spans="1:13" x14ac:dyDescent="0.25">
      <c r="A42" s="1">
        <v>192417000000000</v>
      </c>
      <c r="B42" s="1">
        <f t="shared" si="1"/>
        <v>1.5591137997162413E-6</v>
      </c>
      <c r="C42" s="2">
        <f t="shared" si="2"/>
        <v>1559.1137997162414</v>
      </c>
      <c r="D42">
        <v>0.23855399999999999</v>
      </c>
      <c r="E42">
        <v>0.24967</v>
      </c>
      <c r="F42">
        <v>0.115077</v>
      </c>
      <c r="G42">
        <v>0.53929099999999996</v>
      </c>
      <c r="H42">
        <f t="shared" si="3"/>
        <v>-6.2241329692788758</v>
      </c>
      <c r="I42">
        <f t="shared" si="3"/>
        <v>-6.0263363873471176</v>
      </c>
      <c r="J42">
        <f t="shared" si="3"/>
        <v>-9.3901146847469317</v>
      </c>
      <c r="K42">
        <f t="shared" si="3"/>
        <v>-2.6817682740876303</v>
      </c>
      <c r="L42">
        <f t="shared" si="4"/>
        <v>-0.1977965819317582</v>
      </c>
      <c r="M42">
        <f t="shared" si="5"/>
        <v>6.7083464106593009</v>
      </c>
    </row>
    <row r="43" spans="1:13" x14ac:dyDescent="0.25">
      <c r="A43" s="1">
        <v>192543000000000</v>
      </c>
      <c r="B43" s="1">
        <f t="shared" si="1"/>
        <v>1.5580935167728766E-6</v>
      </c>
      <c r="C43" s="2">
        <f t="shared" si="2"/>
        <v>1558.0935167728767</v>
      </c>
      <c r="D43">
        <v>0.23930499999999999</v>
      </c>
      <c r="E43">
        <v>0.25088899999999997</v>
      </c>
      <c r="F43">
        <v>0.114408</v>
      </c>
      <c r="G43">
        <v>0.54127000000000003</v>
      </c>
      <c r="H43">
        <f t="shared" si="3"/>
        <v>-6.2104822721303918</v>
      </c>
      <c r="I43">
        <f t="shared" si="3"/>
        <v>-6.005183795145097</v>
      </c>
      <c r="J43">
        <f t="shared" si="3"/>
        <v>-9.4154360636135195</v>
      </c>
      <c r="K43">
        <f t="shared" si="3"/>
        <v>-2.6658604310201706</v>
      </c>
      <c r="L43">
        <f t="shared" si="4"/>
        <v>-0.2052984769852948</v>
      </c>
      <c r="M43">
        <f t="shared" si="5"/>
        <v>6.7495756325933485</v>
      </c>
    </row>
    <row r="44" spans="1:13" x14ac:dyDescent="0.25">
      <c r="A44" s="1">
        <v>192670000000000</v>
      </c>
      <c r="B44" s="1">
        <f t="shared" si="1"/>
        <v>1.5570664867389838E-6</v>
      </c>
      <c r="C44" s="2">
        <f t="shared" si="2"/>
        <v>1557.0664867389837</v>
      </c>
      <c r="D44">
        <v>0.24076800000000001</v>
      </c>
      <c r="E44">
        <v>0.25092999999999999</v>
      </c>
      <c r="F44">
        <v>0.11369600000000001</v>
      </c>
      <c r="G44">
        <v>0.54328600000000005</v>
      </c>
      <c r="H44">
        <f t="shared" si="3"/>
        <v>-6.1840123480175269</v>
      </c>
      <c r="I44">
        <f t="shared" si="3"/>
        <v>-6.0044741339406524</v>
      </c>
      <c r="J44">
        <f t="shared" si="3"/>
        <v>-9.4425481419076611</v>
      </c>
      <c r="K44">
        <f t="shared" si="3"/>
        <v>-2.649714862070037</v>
      </c>
      <c r="L44">
        <f t="shared" si="4"/>
        <v>-0.17953821407687443</v>
      </c>
      <c r="M44">
        <f t="shared" si="5"/>
        <v>6.7928332798376241</v>
      </c>
    </row>
    <row r="45" spans="1:13" x14ac:dyDescent="0.25">
      <c r="A45" s="1">
        <v>192796000000000</v>
      </c>
      <c r="B45" s="1">
        <f t="shared" si="1"/>
        <v>1.5560488806821718E-6</v>
      </c>
      <c r="C45" s="2">
        <f t="shared" si="2"/>
        <v>1556.0488806821718</v>
      </c>
      <c r="D45">
        <v>0.241346</v>
      </c>
      <c r="E45">
        <v>0.25190299999999999</v>
      </c>
      <c r="F45">
        <v>0.112945</v>
      </c>
      <c r="G45">
        <v>0.54533900000000002</v>
      </c>
      <c r="H45">
        <f t="shared" si="3"/>
        <v>-6.1735989465893448</v>
      </c>
      <c r="I45">
        <f t="shared" si="3"/>
        <v>-5.9876666030781225</v>
      </c>
      <c r="J45">
        <f t="shared" si="3"/>
        <v>-9.4713299024581943</v>
      </c>
      <c r="K45">
        <f t="shared" si="3"/>
        <v>-2.6333344256783411</v>
      </c>
      <c r="L45">
        <f t="shared" si="4"/>
        <v>-0.18593234351122234</v>
      </c>
      <c r="M45">
        <f t="shared" si="5"/>
        <v>6.8379954767798532</v>
      </c>
    </row>
    <row r="46" spans="1:13" x14ac:dyDescent="0.25">
      <c r="A46" s="1">
        <v>192922000000000</v>
      </c>
      <c r="B46" s="1">
        <f t="shared" si="1"/>
        <v>1.5550326038502607E-6</v>
      </c>
      <c r="C46" s="2">
        <f t="shared" si="2"/>
        <v>1555.0326038502608</v>
      </c>
      <c r="D46">
        <v>0.243009</v>
      </c>
      <c r="E46">
        <v>0.25167800000000001</v>
      </c>
      <c r="F46">
        <v>0.11215899999999999</v>
      </c>
      <c r="G46">
        <v>0.54742500000000005</v>
      </c>
      <c r="H46">
        <f t="shared" si="3"/>
        <v>-6.1437764171873921</v>
      </c>
      <c r="I46">
        <f t="shared" si="3"/>
        <v>-5.9915474589853392</v>
      </c>
      <c r="J46">
        <f t="shared" si="3"/>
        <v>-9.5016587149241278</v>
      </c>
      <c r="K46">
        <f t="shared" si="3"/>
        <v>-2.61675372957819</v>
      </c>
      <c r="L46">
        <f t="shared" si="4"/>
        <v>-0.15222895820205284</v>
      </c>
      <c r="M46">
        <f t="shared" si="5"/>
        <v>6.8849049853459379</v>
      </c>
    </row>
    <row r="47" spans="1:13" x14ac:dyDescent="0.25">
      <c r="A47" s="1">
        <v>193048000000000</v>
      </c>
      <c r="B47" s="1">
        <f t="shared" si="1"/>
        <v>1.5540176536405454E-6</v>
      </c>
      <c r="C47" s="2">
        <f t="shared" si="2"/>
        <v>1554.0176536405454</v>
      </c>
      <c r="D47">
        <v>0.243506</v>
      </c>
      <c r="E47">
        <v>0.25220999999999999</v>
      </c>
      <c r="F47">
        <v>0.111343</v>
      </c>
      <c r="G47">
        <v>0.54954000000000003</v>
      </c>
      <c r="H47">
        <f t="shared" si="3"/>
        <v>-6.1349033327978608</v>
      </c>
      <c r="I47">
        <f t="shared" si="3"/>
        <v>-5.9823769786317467</v>
      </c>
      <c r="J47">
        <f t="shared" si="3"/>
        <v>-9.5333708134151749</v>
      </c>
      <c r="K47">
        <f t="shared" si="3"/>
        <v>-2.600006905980321</v>
      </c>
      <c r="L47">
        <f t="shared" si="4"/>
        <v>-0.15252635416611415</v>
      </c>
      <c r="M47">
        <f t="shared" si="5"/>
        <v>6.9333639074348543</v>
      </c>
    </row>
    <row r="48" spans="1:13" x14ac:dyDescent="0.25">
      <c r="A48" s="1">
        <v>193174000000000</v>
      </c>
      <c r="B48" s="1">
        <f t="shared" si="1"/>
        <v>1.5530040274571112E-6</v>
      </c>
      <c r="C48" s="2">
        <f t="shared" si="2"/>
        <v>1553.0040274571111</v>
      </c>
      <c r="D48">
        <v>0.24510899999999999</v>
      </c>
      <c r="E48">
        <v>0.25187900000000002</v>
      </c>
      <c r="F48">
        <v>0.110504</v>
      </c>
      <c r="G48">
        <v>0.55167699999999997</v>
      </c>
      <c r="H48">
        <f t="shared" si="3"/>
        <v>-6.1064074187490434</v>
      </c>
      <c r="I48">
        <f t="shared" si="3"/>
        <v>-5.9880803958525188</v>
      </c>
      <c r="J48">
        <f t="shared" si="3"/>
        <v>-9.5662200119618959</v>
      </c>
      <c r="K48">
        <f t="shared" si="3"/>
        <v>-2.5831512186299994</v>
      </c>
      <c r="L48">
        <f t="shared" si="4"/>
        <v>-0.11832702289652453</v>
      </c>
      <c r="M48">
        <f t="shared" si="5"/>
        <v>6.9830687933318965</v>
      </c>
    </row>
    <row r="49" spans="1:13" x14ac:dyDescent="0.25">
      <c r="A49" s="1">
        <v>193301000000000</v>
      </c>
      <c r="B49" s="1">
        <f t="shared" si="1"/>
        <v>1.5519836938246568E-6</v>
      </c>
      <c r="C49" s="2">
        <f t="shared" si="2"/>
        <v>1551.9836938246569</v>
      </c>
      <c r="D49">
        <v>0.245639</v>
      </c>
      <c r="E49">
        <v>0.25176399999999999</v>
      </c>
      <c r="F49">
        <v>0.10964699999999999</v>
      </c>
      <c r="G49">
        <v>0.55382900000000002</v>
      </c>
      <c r="H49">
        <f t="shared" si="3"/>
        <v>-6.097026793055262</v>
      </c>
      <c r="I49">
        <f t="shared" si="3"/>
        <v>-5.9900637001488901</v>
      </c>
      <c r="J49">
        <f t="shared" si="3"/>
        <v>-9.6000324635097574</v>
      </c>
      <c r="K49">
        <f t="shared" si="3"/>
        <v>-2.5662430714908071</v>
      </c>
      <c r="L49">
        <f t="shared" si="4"/>
        <v>-0.10696309290637185</v>
      </c>
      <c r="M49">
        <f t="shared" si="5"/>
        <v>7.0337893920189503</v>
      </c>
    </row>
    <row r="50" spans="1:13" x14ac:dyDescent="0.25">
      <c r="A50" s="1">
        <v>193427000000000</v>
      </c>
      <c r="B50" s="1">
        <f t="shared" si="1"/>
        <v>1.5509727183898835E-6</v>
      </c>
      <c r="C50" s="2">
        <f t="shared" si="2"/>
        <v>1550.9727183898835</v>
      </c>
      <c r="D50">
        <v>0.246839</v>
      </c>
      <c r="E50">
        <v>0.251444</v>
      </c>
      <c r="F50">
        <v>0.108779</v>
      </c>
      <c r="G50">
        <v>0.55598899999999996</v>
      </c>
      <c r="H50">
        <f t="shared" si="3"/>
        <v>-6.0758622167817302</v>
      </c>
      <c r="I50">
        <f t="shared" si="3"/>
        <v>-5.9955872312907834</v>
      </c>
      <c r="J50">
        <f t="shared" si="3"/>
        <v>-9.6345493795032109</v>
      </c>
      <c r="K50">
        <f t="shared" si="3"/>
        <v>-2.5493380065995415</v>
      </c>
      <c r="L50">
        <f t="shared" si="4"/>
        <v>-8.0274985490946804E-2</v>
      </c>
      <c r="M50">
        <f t="shared" si="5"/>
        <v>7.0852113729036699</v>
      </c>
    </row>
    <row r="51" spans="1:13" x14ac:dyDescent="0.25">
      <c r="A51" s="1">
        <v>193553000000000</v>
      </c>
      <c r="B51" s="1">
        <f t="shared" si="1"/>
        <v>1.5499630592137555E-6</v>
      </c>
      <c r="C51" s="2">
        <f t="shared" si="2"/>
        <v>1549.9630592137555</v>
      </c>
      <c r="D51">
        <v>0.24748600000000001</v>
      </c>
      <c r="E51">
        <v>0.25053599999999998</v>
      </c>
      <c r="F51">
        <v>0.107906</v>
      </c>
      <c r="G51">
        <v>0.55815300000000001</v>
      </c>
      <c r="H51">
        <f t="shared" si="3"/>
        <v>-6.0644936357775059</v>
      </c>
      <c r="I51">
        <f t="shared" si="3"/>
        <v>-6.0112986070287633</v>
      </c>
      <c r="J51">
        <f t="shared" si="3"/>
        <v>-9.6695440615634212</v>
      </c>
      <c r="K51">
        <f t="shared" si="3"/>
        <v>-2.5324673663998567</v>
      </c>
      <c r="L51">
        <f t="shared" si="4"/>
        <v>-5.3195028748742601E-2</v>
      </c>
      <c r="M51">
        <f t="shared" si="5"/>
        <v>7.1370766951635645</v>
      </c>
    </row>
    <row r="52" spans="1:13" x14ac:dyDescent="0.25">
      <c r="A52" s="1">
        <v>193679000000000</v>
      </c>
      <c r="B52" s="1">
        <f t="shared" si="1"/>
        <v>1.548954713727353E-6</v>
      </c>
      <c r="C52" s="2">
        <f t="shared" si="2"/>
        <v>1548.954713727353</v>
      </c>
      <c r="D52">
        <v>0.24792500000000001</v>
      </c>
      <c r="E52">
        <v>0.25026799999999999</v>
      </c>
      <c r="F52">
        <v>0.107032</v>
      </c>
      <c r="G52">
        <v>0.56031500000000001</v>
      </c>
      <c r="H52">
        <f t="shared" si="3"/>
        <v>-6.0567967809455228</v>
      </c>
      <c r="I52">
        <f t="shared" si="3"/>
        <v>-6.0159467700730085</v>
      </c>
      <c r="J52">
        <f t="shared" si="3"/>
        <v>-9.7048635927071789</v>
      </c>
      <c r="K52">
        <f t="shared" si="3"/>
        <v>-2.5156775102871904</v>
      </c>
      <c r="L52">
        <f t="shared" si="4"/>
        <v>-4.0850010872514275E-2</v>
      </c>
      <c r="M52">
        <f t="shared" si="5"/>
        <v>7.1891860824199885</v>
      </c>
    </row>
    <row r="53" spans="1:13" x14ac:dyDescent="0.25">
      <c r="A53" s="1">
        <v>193805000000000</v>
      </c>
      <c r="B53" s="1">
        <f t="shared" si="1"/>
        <v>1.5479476793684374E-6</v>
      </c>
      <c r="C53" s="2">
        <f t="shared" si="2"/>
        <v>1547.9476793684373</v>
      </c>
      <c r="D53">
        <v>0.24865499999999999</v>
      </c>
      <c r="E53">
        <v>0.248561</v>
      </c>
      <c r="F53">
        <v>0.10616200000000001</v>
      </c>
      <c r="G53">
        <v>0.56247000000000003</v>
      </c>
      <c r="H53">
        <f t="shared" si="3"/>
        <v>-6.0440280347146196</v>
      </c>
      <c r="I53">
        <f t="shared" si="3"/>
        <v>-6.0456701251455494</v>
      </c>
      <c r="J53">
        <f t="shared" si="3"/>
        <v>-9.7403090833519954</v>
      </c>
      <c r="K53">
        <f t="shared" si="3"/>
        <v>-2.4990063620665328</v>
      </c>
      <c r="L53">
        <f t="shared" si="4"/>
        <v>1.6420904309297768E-3</v>
      </c>
      <c r="M53">
        <f t="shared" si="5"/>
        <v>7.2413027212854626</v>
      </c>
    </row>
    <row r="54" spans="1:13" x14ac:dyDescent="0.25">
      <c r="A54" s="1">
        <v>193931000000000</v>
      </c>
      <c r="B54" s="1">
        <f t="shared" si="1"/>
        <v>1.5469419535814284E-6</v>
      </c>
      <c r="C54" s="2">
        <f t="shared" si="2"/>
        <v>1546.9419535814284</v>
      </c>
      <c r="D54">
        <v>0.24801300000000001</v>
      </c>
      <c r="E54">
        <v>0.24829799999999999</v>
      </c>
      <c r="F54">
        <v>0.10530299999999999</v>
      </c>
      <c r="G54">
        <v>0.56461300000000003</v>
      </c>
      <c r="H54">
        <f t="shared" si="3"/>
        <v>-6.0552555433388626</v>
      </c>
      <c r="I54">
        <f t="shared" si="3"/>
        <v>-6.0502677860275336</v>
      </c>
      <c r="J54">
        <f t="shared" si="3"/>
        <v>-9.7755925592860216</v>
      </c>
      <c r="K54">
        <f t="shared" si="3"/>
        <v>-2.4824912660839145</v>
      </c>
      <c r="L54">
        <f t="shared" si="4"/>
        <v>-4.9877573113290552E-3</v>
      </c>
      <c r="M54">
        <f t="shared" si="5"/>
        <v>7.2931012932021071</v>
      </c>
    </row>
    <row r="55" spans="1:13" x14ac:dyDescent="0.25">
      <c r="A55" s="1">
        <v>194058000000000</v>
      </c>
      <c r="B55" s="1">
        <f t="shared" si="1"/>
        <v>1.545929567448907E-6</v>
      </c>
      <c r="C55" s="2">
        <f t="shared" si="2"/>
        <v>1545.9295674489069</v>
      </c>
      <c r="D55">
        <v>0.24856400000000001</v>
      </c>
      <c r="E55">
        <v>0.24599599999999999</v>
      </c>
      <c r="F55">
        <v>0.104459</v>
      </c>
      <c r="G55">
        <v>0.56673799999999996</v>
      </c>
      <c r="H55">
        <f t="shared" si="3"/>
        <v>-6.0456177084114993</v>
      </c>
      <c r="I55">
        <f t="shared" si="3"/>
        <v>-6.0907195465292645</v>
      </c>
      <c r="J55">
        <f t="shared" si="3"/>
        <v>-9.8105413603837697</v>
      </c>
      <c r="K55">
        <f t="shared" si="3"/>
        <v>-2.4661766677084325</v>
      </c>
      <c r="L55">
        <f t="shared" si="4"/>
        <v>4.5101838117765247E-2</v>
      </c>
      <c r="M55">
        <f t="shared" si="5"/>
        <v>7.3443646926753372</v>
      </c>
    </row>
    <row r="56" spans="1:13" x14ac:dyDescent="0.25">
      <c r="A56" s="1">
        <v>194184000000000</v>
      </c>
      <c r="B56" s="1">
        <f t="shared" si="1"/>
        <v>1.5449264615004325E-6</v>
      </c>
      <c r="C56" s="2">
        <f t="shared" si="2"/>
        <v>1544.9264615004327</v>
      </c>
      <c r="D56">
        <v>0.24657799999999999</v>
      </c>
      <c r="E56">
        <v>0.245646</v>
      </c>
      <c r="F56">
        <v>0.10363600000000001</v>
      </c>
      <c r="G56">
        <v>0.56883899999999998</v>
      </c>
      <c r="H56">
        <f t="shared" si="3"/>
        <v>-6.0804567431295755</v>
      </c>
      <c r="I56">
        <f t="shared" si="3"/>
        <v>-6.0969030334707632</v>
      </c>
      <c r="J56">
        <f t="shared" si="3"/>
        <v>-9.8448935766471326</v>
      </c>
      <c r="K56">
        <f t="shared" si="3"/>
        <v>-2.4501063572386315</v>
      </c>
      <c r="L56">
        <f t="shared" si="4"/>
        <v>1.6446290341187719E-2</v>
      </c>
      <c r="M56">
        <f t="shared" si="5"/>
        <v>7.3947872194085011</v>
      </c>
    </row>
    <row r="57" spans="1:13" x14ac:dyDescent="0.25">
      <c r="A57" s="1">
        <v>194310000000000</v>
      </c>
      <c r="B57" s="1">
        <f t="shared" si="1"/>
        <v>1.543924656476764E-6</v>
      </c>
      <c r="C57" s="2">
        <f t="shared" si="2"/>
        <v>1543.9246564767639</v>
      </c>
      <c r="D57">
        <v>0.24629999999999999</v>
      </c>
      <c r="E57">
        <v>0.24326700000000001</v>
      </c>
      <c r="F57">
        <v>0.102841</v>
      </c>
      <c r="G57">
        <v>0.57090600000000002</v>
      </c>
      <c r="H57">
        <f t="shared" si="3"/>
        <v>-6.0853558816089679</v>
      </c>
      <c r="I57">
        <f t="shared" si="3"/>
        <v>-6.139168006044553</v>
      </c>
      <c r="J57">
        <f t="shared" si="3"/>
        <v>-9.8783370903841057</v>
      </c>
      <c r="K57">
        <f t="shared" si="3"/>
        <v>-2.4343539270325127</v>
      </c>
      <c r="L57">
        <f t="shared" si="4"/>
        <v>5.381212443558514E-2</v>
      </c>
      <c r="M57">
        <f t="shared" si="5"/>
        <v>7.4439831633515929</v>
      </c>
    </row>
    <row r="58" spans="1:13" x14ac:dyDescent="0.25">
      <c r="A58" s="1">
        <v>194436000000000</v>
      </c>
      <c r="B58" s="1">
        <f t="shared" si="1"/>
        <v>1.5429241498487934E-6</v>
      </c>
      <c r="C58" s="2">
        <f t="shared" si="2"/>
        <v>1542.9241498487934</v>
      </c>
      <c r="D58">
        <v>0.24265500000000001</v>
      </c>
      <c r="E58">
        <v>0.242844</v>
      </c>
      <c r="F58">
        <v>0.10208100000000001</v>
      </c>
      <c r="G58">
        <v>0.57293000000000005</v>
      </c>
      <c r="H58">
        <f t="shared" si="3"/>
        <v>-6.1501075545095265</v>
      </c>
      <c r="I58">
        <f t="shared" si="3"/>
        <v>-6.1467262226746042</v>
      </c>
      <c r="J58">
        <f t="shared" si="3"/>
        <v>-9.910550841915386</v>
      </c>
      <c r="K58">
        <f t="shared" si="3"/>
        <v>-2.4189843644590057</v>
      </c>
      <c r="L58">
        <f t="shared" si="4"/>
        <v>-3.3813318349222854E-3</v>
      </c>
      <c r="M58">
        <f t="shared" si="5"/>
        <v>7.4915664774563808</v>
      </c>
    </row>
    <row r="59" spans="1:13" x14ac:dyDescent="0.25">
      <c r="A59" s="1">
        <v>194562000000000</v>
      </c>
      <c r="B59" s="1">
        <f t="shared" si="1"/>
        <v>1.5419249390939649E-6</v>
      </c>
      <c r="C59" s="2">
        <f t="shared" si="2"/>
        <v>1541.9249390939649</v>
      </c>
      <c r="D59">
        <v>0.24019399999999999</v>
      </c>
      <c r="E59">
        <v>0.241476</v>
      </c>
      <c r="F59">
        <v>0.10136199999999999</v>
      </c>
      <c r="G59">
        <v>0.574901</v>
      </c>
      <c r="H59">
        <f t="shared" si="3"/>
        <v>-6.1943784539038562</v>
      </c>
      <c r="I59">
        <f t="shared" si="3"/>
        <v>-6.171260267572575</v>
      </c>
      <c r="J59">
        <f t="shared" si="3"/>
        <v>-9.9412482886263227</v>
      </c>
      <c r="K59">
        <f t="shared" si="3"/>
        <v>-2.4040693592855256</v>
      </c>
      <c r="L59">
        <f t="shared" si="4"/>
        <v>-2.3118186331281265E-2</v>
      </c>
      <c r="M59">
        <f t="shared" si="5"/>
        <v>7.5371789293407971</v>
      </c>
    </row>
    <row r="60" spans="1:13" x14ac:dyDescent="0.25">
      <c r="A60" s="1">
        <v>194688000000000</v>
      </c>
      <c r="B60" s="1">
        <f t="shared" si="1"/>
        <v>1.5409270216962524E-6</v>
      </c>
      <c r="C60" s="2">
        <f t="shared" si="2"/>
        <v>1540.9270216962525</v>
      </c>
      <c r="D60">
        <v>0.23408799999999999</v>
      </c>
      <c r="E60">
        <v>0.24157000000000001</v>
      </c>
      <c r="F60">
        <v>0.100691</v>
      </c>
      <c r="G60">
        <v>0.57680799999999999</v>
      </c>
      <c r="H60">
        <f t="shared" si="3"/>
        <v>-6.3062084887218983</v>
      </c>
      <c r="I60">
        <f t="shared" si="3"/>
        <v>-6.1695700069425632</v>
      </c>
      <c r="J60">
        <f t="shared" si="3"/>
        <v>-9.9700934598078241</v>
      </c>
      <c r="K60">
        <f t="shared" si="3"/>
        <v>-2.3896872482856941</v>
      </c>
      <c r="L60">
        <f t="shared" si="4"/>
        <v>-0.13663848177933513</v>
      </c>
      <c r="M60">
        <f t="shared" si="5"/>
        <v>7.5804062115221296</v>
      </c>
    </row>
    <row r="61" spans="1:13" x14ac:dyDescent="0.25">
      <c r="A61" s="1">
        <v>194815000000000</v>
      </c>
      <c r="B61" s="1">
        <f t="shared" si="1"/>
        <v>1.5399224905679747E-6</v>
      </c>
      <c r="C61" s="2">
        <f t="shared" si="2"/>
        <v>1539.9224905679746</v>
      </c>
      <c r="D61">
        <v>0.22645399999999999</v>
      </c>
      <c r="E61">
        <v>0.24385599999999999</v>
      </c>
      <c r="F61">
        <v>0.10007199999999999</v>
      </c>
      <c r="G61">
        <v>0.57864499999999996</v>
      </c>
      <c r="H61">
        <f t="shared" si="3"/>
        <v>-6.4502000369559642</v>
      </c>
      <c r="I61">
        <f t="shared" si="3"/>
        <v>-6.1286655426214578</v>
      </c>
      <c r="J61">
        <f t="shared" si="3"/>
        <v>-9.9968742048815535</v>
      </c>
      <c r="K61">
        <f t="shared" si="3"/>
        <v>-2.3758779520973099</v>
      </c>
      <c r="L61">
        <f t="shared" si="4"/>
        <v>-0.32153449433450643</v>
      </c>
      <c r="M61">
        <f t="shared" si="5"/>
        <v>7.6209962527842432</v>
      </c>
    </row>
    <row r="62" spans="1:13" x14ac:dyDescent="0.25">
      <c r="A62" s="1">
        <v>194941000000000</v>
      </c>
      <c r="B62" s="1">
        <f t="shared" si="1"/>
        <v>1.5389271625773953E-6</v>
      </c>
      <c r="C62" s="2">
        <f t="shared" si="2"/>
        <v>1538.9271625773954</v>
      </c>
      <c r="D62">
        <v>0.21507399999999999</v>
      </c>
      <c r="E62">
        <v>0.24748800000000001</v>
      </c>
      <c r="F62">
        <v>9.9510299999999996E-2</v>
      </c>
      <c r="G62">
        <v>0.58040599999999998</v>
      </c>
      <c r="H62">
        <f t="shared" si="3"/>
        <v>-6.6741208770188374</v>
      </c>
      <c r="I62">
        <f t="shared" si="3"/>
        <v>-6.0644585394304737</v>
      </c>
      <c r="J62">
        <f t="shared" si="3"/>
        <v>-10.021319644638179</v>
      </c>
      <c r="K62">
        <f t="shared" si="3"/>
        <v>-2.3626810665225024</v>
      </c>
      <c r="L62">
        <f t="shared" si="4"/>
        <v>-0.60966233758836363</v>
      </c>
      <c r="M62">
        <f t="shared" si="5"/>
        <v>7.6586385781156769</v>
      </c>
    </row>
    <row r="63" spans="1:13" x14ac:dyDescent="0.25">
      <c r="A63" s="1">
        <v>195067000000000</v>
      </c>
      <c r="B63" s="1">
        <f t="shared" si="1"/>
        <v>1.5379331204150368E-6</v>
      </c>
      <c r="C63" s="2">
        <f t="shared" si="2"/>
        <v>1537.9331204150369</v>
      </c>
      <c r="D63">
        <v>0.19440299999999999</v>
      </c>
      <c r="E63">
        <v>0.262513</v>
      </c>
      <c r="F63">
        <v>9.9006300000000005E-2</v>
      </c>
      <c r="G63">
        <v>0.58208899999999997</v>
      </c>
      <c r="H63">
        <f t="shared" si="3"/>
        <v>-7.1129703738611925</v>
      </c>
      <c r="I63">
        <f t="shared" si="3"/>
        <v>-5.8084918487338477</v>
      </c>
      <c r="J63">
        <f t="shared" si="3"/>
        <v>-10.043371693601937</v>
      </c>
      <c r="K63">
        <f t="shared" si="3"/>
        <v>-2.3501060769749271</v>
      </c>
      <c r="L63">
        <f t="shared" si="4"/>
        <v>-1.3044785251273447</v>
      </c>
      <c r="M63">
        <f t="shared" si="5"/>
        <v>7.6932656166270101</v>
      </c>
    </row>
    <row r="64" spans="1:13" x14ac:dyDescent="0.25">
      <c r="A64" s="1">
        <v>195193000000000</v>
      </c>
      <c r="B64" s="1">
        <f t="shared" si="1"/>
        <v>1.5369403615908358E-6</v>
      </c>
      <c r="C64" s="2">
        <f t="shared" si="2"/>
        <v>1536.9403615908359</v>
      </c>
      <c r="D64">
        <v>0.16858000000000001</v>
      </c>
      <c r="E64">
        <v>0.285744</v>
      </c>
      <c r="F64">
        <v>9.8560400000000006E-2</v>
      </c>
      <c r="G64">
        <v>0.58369599999999999</v>
      </c>
      <c r="H64">
        <f t="shared" si="3"/>
        <v>-7.7319395049927255</v>
      </c>
      <c r="I64">
        <f t="shared" si="3"/>
        <v>-5.4402288007265938</v>
      </c>
      <c r="J64">
        <f t="shared" si="3"/>
        <v>-10.062975426244524</v>
      </c>
      <c r="K64">
        <f t="shared" si="3"/>
        <v>-2.3381328284862017</v>
      </c>
      <c r="L64">
        <f t="shared" si="4"/>
        <v>-2.2917107042661318</v>
      </c>
      <c r="M64">
        <f t="shared" si="5"/>
        <v>7.7248425977583217</v>
      </c>
    </row>
    <row r="65" spans="1:13" x14ac:dyDescent="0.25">
      <c r="A65" s="1">
        <v>195319000000000</v>
      </c>
      <c r="B65" s="1">
        <f t="shared" si="1"/>
        <v>1.5359488836211531E-6</v>
      </c>
      <c r="C65" s="2">
        <f t="shared" si="2"/>
        <v>1535.9488836211531</v>
      </c>
      <c r="D65">
        <v>0.13344800000000001</v>
      </c>
      <c r="E65">
        <v>0.35399399999999998</v>
      </c>
      <c r="F65">
        <v>9.8171400000000006E-2</v>
      </c>
      <c r="G65">
        <v>0.58523000000000003</v>
      </c>
      <c r="H65">
        <f t="shared" si="3"/>
        <v>-8.7468793064734349</v>
      </c>
      <c r="I65">
        <f t="shared" si="3"/>
        <v>-4.5100409896001565</v>
      </c>
      <c r="J65">
        <f t="shared" si="3"/>
        <v>-10.080150155864567</v>
      </c>
      <c r="K65">
        <f t="shared" si="3"/>
        <v>-2.3267341921707878</v>
      </c>
      <c r="L65">
        <f t="shared" si="4"/>
        <v>-4.2368383168732784</v>
      </c>
      <c r="M65">
        <f t="shared" si="5"/>
        <v>7.7534159636937794</v>
      </c>
    </row>
    <row r="66" spans="1:13" x14ac:dyDescent="0.25">
      <c r="A66" s="1">
        <v>195446000000000</v>
      </c>
      <c r="B66" s="1">
        <f t="shared" si="1"/>
        <v>1.5349508304083993E-6</v>
      </c>
      <c r="C66" s="2">
        <f t="shared" si="2"/>
        <v>1534.9508304083993</v>
      </c>
      <c r="D66">
        <v>0.27454200000000001</v>
      </c>
      <c r="E66">
        <v>0.31862699999999999</v>
      </c>
      <c r="F66">
        <v>9.7836500000000007E-2</v>
      </c>
      <c r="G66">
        <v>0.586696</v>
      </c>
      <c r="H66">
        <f t="shared" si="3"/>
        <v>-5.6139120686800856</v>
      </c>
      <c r="I66">
        <f t="shared" si="3"/>
        <v>-4.9671742547720648</v>
      </c>
      <c r="J66">
        <f t="shared" si="3"/>
        <v>-10.094990921315736</v>
      </c>
      <c r="K66">
        <f t="shared" si="3"/>
        <v>-2.3158687272426746</v>
      </c>
      <c r="L66">
        <f t="shared" si="4"/>
        <v>-0.64673781390802088</v>
      </c>
      <c r="M66">
        <f t="shared" si="5"/>
        <v>7.7791221940730608</v>
      </c>
    </row>
    <row r="67" spans="1:13" x14ac:dyDescent="0.25">
      <c r="A67" s="1">
        <v>195572000000000</v>
      </c>
      <c r="B67" s="1">
        <f t="shared" ref="B67:B101" si="6">(3*10^8)/A67</f>
        <v>1.5339619168388112E-6</v>
      </c>
      <c r="C67" s="2">
        <f t="shared" ref="C67:C101" si="7">B67*10^9</f>
        <v>1533.9619168388112</v>
      </c>
      <c r="D67">
        <v>0.471669</v>
      </c>
      <c r="E67">
        <v>0.17364099999999999</v>
      </c>
      <c r="F67">
        <v>9.7552100000000003E-2</v>
      </c>
      <c r="G67">
        <v>0.58810200000000001</v>
      </c>
      <c r="H67">
        <f t="shared" ref="H67:K101" si="8">10*LOG10(D67)</f>
        <v>-3.2636266641140024</v>
      </c>
      <c r="I67">
        <f t="shared" si="8"/>
        <v>-7.6034772172051035</v>
      </c>
      <c r="J67">
        <f t="shared" si="8"/>
        <v>-10.107633771295816</v>
      </c>
      <c r="K67">
        <f t="shared" si="8"/>
        <v>-2.3054734365953884</v>
      </c>
      <c r="L67">
        <f t="shared" ref="L67:L101" si="9">H67-I67</f>
        <v>4.3398505530911011</v>
      </c>
      <c r="M67">
        <f t="shared" ref="M67:M101" si="10">K67-J67</f>
        <v>7.802160334700428</v>
      </c>
    </row>
    <row r="68" spans="1:13" x14ac:dyDescent="0.25">
      <c r="A68" s="1">
        <v>195698000000000</v>
      </c>
      <c r="B68" s="1">
        <f t="shared" si="6"/>
        <v>1.5329742766916372E-6</v>
      </c>
      <c r="C68" s="2">
        <f t="shared" si="7"/>
        <v>1532.9742766916372</v>
      </c>
      <c r="D68">
        <v>0.49562400000000001</v>
      </c>
      <c r="E68">
        <v>0.11383500000000001</v>
      </c>
      <c r="F68">
        <v>9.7314100000000001E-2</v>
      </c>
      <c r="G68">
        <v>0.58945099999999995</v>
      </c>
      <c r="H68">
        <f t="shared" si="8"/>
        <v>-3.0484767159541053</v>
      </c>
      <c r="I68">
        <f t="shared" si="8"/>
        <v>-9.4372418811788528</v>
      </c>
      <c r="J68">
        <f t="shared" si="8"/>
        <v>-10.118242295307473</v>
      </c>
      <c r="K68">
        <f t="shared" si="8"/>
        <v>-2.295522911865183</v>
      </c>
      <c r="L68">
        <f t="shared" si="9"/>
        <v>6.388765165224747</v>
      </c>
      <c r="M68">
        <f t="shared" si="10"/>
        <v>7.8227193834422906</v>
      </c>
    </row>
    <row r="69" spans="1:13" x14ac:dyDescent="0.25">
      <c r="A69" s="1">
        <v>195824000000000</v>
      </c>
      <c r="B69" s="1">
        <f t="shared" si="6"/>
        <v>1.5319879075087834E-6</v>
      </c>
      <c r="C69" s="2">
        <f t="shared" si="7"/>
        <v>1531.9879075087833</v>
      </c>
      <c r="D69">
        <v>0.50114899999999996</v>
      </c>
      <c r="E69">
        <v>8.6928400000000003E-2</v>
      </c>
      <c r="F69">
        <v>9.7117999999999996E-2</v>
      </c>
      <c r="G69">
        <v>0.59074899999999997</v>
      </c>
      <c r="H69">
        <f t="shared" si="8"/>
        <v>-3.0003313190284557</v>
      </c>
      <c r="I69">
        <f t="shared" si="8"/>
        <v>-10.60838313904857</v>
      </c>
      <c r="J69">
        <f t="shared" si="8"/>
        <v>-10.127002698222299</v>
      </c>
      <c r="K69">
        <f t="shared" si="8"/>
        <v>-2.285970048540352</v>
      </c>
      <c r="L69">
        <f t="shared" si="9"/>
        <v>7.6080518200201137</v>
      </c>
      <c r="M69">
        <f t="shared" si="10"/>
        <v>7.8410326496819467</v>
      </c>
    </row>
    <row r="70" spans="1:13" x14ac:dyDescent="0.25">
      <c r="A70" s="1">
        <v>195950000000000</v>
      </c>
      <c r="B70" s="1">
        <f t="shared" si="6"/>
        <v>1.5310028068384792E-6</v>
      </c>
      <c r="C70" s="2">
        <f t="shared" si="7"/>
        <v>1531.0028068384793</v>
      </c>
      <c r="D70">
        <v>0.51444299999999998</v>
      </c>
      <c r="E70">
        <v>7.1582800000000002E-2</v>
      </c>
      <c r="F70">
        <v>9.6959100000000006E-2</v>
      </c>
      <c r="G70">
        <v>0.59199800000000002</v>
      </c>
      <c r="H70">
        <f t="shared" si="8"/>
        <v>-2.8866273782443672</v>
      </c>
      <c r="I70">
        <f t="shared" si="8"/>
        <v>-11.451913179498383</v>
      </c>
      <c r="J70">
        <f t="shared" si="8"/>
        <v>-10.134114243952784</v>
      </c>
      <c r="K70">
        <f t="shared" si="8"/>
        <v>-2.2767976049064611</v>
      </c>
      <c r="L70">
        <f t="shared" si="9"/>
        <v>8.5652858012540172</v>
      </c>
      <c r="M70">
        <f t="shared" si="10"/>
        <v>7.8573166390463225</v>
      </c>
    </row>
    <row r="71" spans="1:13" x14ac:dyDescent="0.25">
      <c r="A71" s="1">
        <v>196076000000000</v>
      </c>
      <c r="B71" s="1">
        <f t="shared" si="6"/>
        <v>1.5300189722352557E-6</v>
      </c>
      <c r="C71" s="2">
        <f t="shared" si="7"/>
        <v>1530.0189722352557</v>
      </c>
      <c r="D71">
        <v>0.55428299999999997</v>
      </c>
      <c r="E71">
        <v>5.2341400000000003E-2</v>
      </c>
      <c r="F71">
        <v>9.6831899999999999E-2</v>
      </c>
      <c r="G71">
        <v>0.59319900000000003</v>
      </c>
      <c r="H71">
        <f t="shared" si="8"/>
        <v>-2.5626844112503928</v>
      </c>
      <c r="I71">
        <f t="shared" si="8"/>
        <v>-12.81154665262374</v>
      </c>
      <c r="J71">
        <f t="shared" si="8"/>
        <v>-10.139815464962165</v>
      </c>
      <c r="K71">
        <f t="shared" si="8"/>
        <v>-2.2679958976578631</v>
      </c>
      <c r="L71">
        <f t="shared" si="9"/>
        <v>10.248862241373347</v>
      </c>
      <c r="M71">
        <f t="shared" si="10"/>
        <v>7.8718195673043017</v>
      </c>
    </row>
    <row r="72" spans="1:13" x14ac:dyDescent="0.25">
      <c r="A72" s="1">
        <v>196203000000000</v>
      </c>
      <c r="B72" s="1">
        <f t="shared" si="6"/>
        <v>1.5290286081252581E-6</v>
      </c>
      <c r="C72" s="2">
        <f t="shared" si="7"/>
        <v>1529.0286081252582</v>
      </c>
      <c r="D72">
        <v>0.59710600000000003</v>
      </c>
      <c r="E72">
        <v>3.3813999999999997E-2</v>
      </c>
      <c r="F72">
        <v>9.6730700000000003E-2</v>
      </c>
      <c r="G72">
        <v>0.59435199999999999</v>
      </c>
      <c r="H72">
        <f t="shared" si="8"/>
        <v>-2.2394856480247838</v>
      </c>
      <c r="I72">
        <f t="shared" si="8"/>
        <v>-14.709034516780486</v>
      </c>
      <c r="J72">
        <f t="shared" si="8"/>
        <v>-10.144356694060475</v>
      </c>
      <c r="K72">
        <f t="shared" si="8"/>
        <v>-2.2595627155043867</v>
      </c>
      <c r="L72">
        <f t="shared" si="9"/>
        <v>12.469548868755702</v>
      </c>
      <c r="M72">
        <f t="shared" si="10"/>
        <v>7.8847939785560879</v>
      </c>
    </row>
    <row r="73" spans="1:13" x14ac:dyDescent="0.25">
      <c r="A73" s="1">
        <v>196329000000000</v>
      </c>
      <c r="B73" s="1">
        <f t="shared" si="6"/>
        <v>1.5280473083446663E-6</v>
      </c>
      <c r="C73" s="2">
        <f t="shared" si="7"/>
        <v>1528.0473083446664</v>
      </c>
      <c r="D73">
        <v>0.62568400000000002</v>
      </c>
      <c r="E73">
        <v>2.0429099999999999E-2</v>
      </c>
      <c r="F73">
        <v>9.6648899999999996E-2</v>
      </c>
      <c r="G73">
        <v>0.59545700000000001</v>
      </c>
      <c r="H73">
        <f t="shared" si="8"/>
        <v>-2.0364495066504857</v>
      </c>
      <c r="I73">
        <f t="shared" si="8"/>
        <v>-16.897507657044748</v>
      </c>
      <c r="J73">
        <f t="shared" si="8"/>
        <v>-10.148030844874578</v>
      </c>
      <c r="K73">
        <f t="shared" si="8"/>
        <v>-2.2514959494860327</v>
      </c>
      <c r="L73">
        <f t="shared" si="9"/>
        <v>14.861058150394262</v>
      </c>
      <c r="M73">
        <f t="shared" si="10"/>
        <v>7.8965348953885446</v>
      </c>
    </row>
    <row r="74" spans="1:13" x14ac:dyDescent="0.25">
      <c r="A74" s="1">
        <v>196455000000000</v>
      </c>
      <c r="B74" s="1">
        <f t="shared" si="6"/>
        <v>1.5270672673131251E-6</v>
      </c>
      <c r="C74" s="2">
        <f t="shared" si="7"/>
        <v>1527.0672673131251</v>
      </c>
      <c r="D74">
        <v>0.64239299999999999</v>
      </c>
      <c r="E74">
        <v>1.4057E-2</v>
      </c>
      <c r="F74">
        <v>9.6578700000000003E-2</v>
      </c>
      <c r="G74">
        <v>0.59651600000000005</v>
      </c>
      <c r="H74">
        <f t="shared" si="8"/>
        <v>-1.9219920010474389</v>
      </c>
      <c r="I74">
        <f t="shared" si="8"/>
        <v>-18.521073551671499</v>
      </c>
      <c r="J74">
        <f t="shared" si="8"/>
        <v>-10.151186447280336</v>
      </c>
      <c r="K74">
        <f t="shared" si="8"/>
        <v>-2.243779030103719</v>
      </c>
      <c r="L74">
        <f t="shared" si="9"/>
        <v>16.59908155062406</v>
      </c>
      <c r="M74">
        <f t="shared" si="10"/>
        <v>7.9074074171766178</v>
      </c>
    </row>
    <row r="75" spans="1:13" x14ac:dyDescent="0.25">
      <c r="A75" s="1">
        <v>196581000000000</v>
      </c>
      <c r="B75" s="1">
        <f t="shared" si="6"/>
        <v>1.5260884826102218E-6</v>
      </c>
      <c r="C75" s="2">
        <f t="shared" si="7"/>
        <v>1526.0884826102219</v>
      </c>
      <c r="D75">
        <v>0.64967900000000001</v>
      </c>
      <c r="E75">
        <v>1.3512400000000001E-2</v>
      </c>
      <c r="F75">
        <v>9.6511600000000003E-2</v>
      </c>
      <c r="G75">
        <v>0.59753299999999998</v>
      </c>
      <c r="H75">
        <f t="shared" si="8"/>
        <v>-1.873011709928539</v>
      </c>
      <c r="I75">
        <f t="shared" si="8"/>
        <v>-18.692675070707438</v>
      </c>
      <c r="J75">
        <f t="shared" si="8"/>
        <v>-10.154204844466392</v>
      </c>
      <c r="K75">
        <f t="shared" si="8"/>
        <v>-2.2363810490342959</v>
      </c>
      <c r="L75">
        <f t="shared" si="9"/>
        <v>16.819663360778897</v>
      </c>
      <c r="M75">
        <f t="shared" si="10"/>
        <v>7.9178237954320956</v>
      </c>
    </row>
    <row r="76" spans="1:13" x14ac:dyDescent="0.25">
      <c r="A76" s="1">
        <v>196707000000000</v>
      </c>
      <c r="B76" s="1">
        <f t="shared" si="6"/>
        <v>1.525110951821745E-6</v>
      </c>
      <c r="C76" s="2">
        <f t="shared" si="7"/>
        <v>1525.1109518217449</v>
      </c>
      <c r="D76">
        <v>0.65543499999999999</v>
      </c>
      <c r="E76">
        <v>1.6360099999999999E-2</v>
      </c>
      <c r="F76">
        <v>9.6438399999999994E-2</v>
      </c>
      <c r="G76">
        <v>0.59851399999999999</v>
      </c>
      <c r="H76">
        <f t="shared" si="8"/>
        <v>-1.8347037116082356</v>
      </c>
      <c r="I76">
        <f t="shared" si="8"/>
        <v>-17.862140460610615</v>
      </c>
      <c r="J76">
        <f t="shared" si="8"/>
        <v>-10.157500035718058</v>
      </c>
      <c r="K76">
        <f t="shared" si="8"/>
        <v>-2.2292568644113744</v>
      </c>
      <c r="L76">
        <f t="shared" si="9"/>
        <v>16.02743674900238</v>
      </c>
      <c r="M76">
        <f t="shared" si="10"/>
        <v>7.9282431713066845</v>
      </c>
    </row>
    <row r="77" spans="1:13" x14ac:dyDescent="0.25">
      <c r="A77" s="1">
        <v>196833000000000</v>
      </c>
      <c r="B77" s="1">
        <f t="shared" si="6"/>
        <v>1.5241346725396656E-6</v>
      </c>
      <c r="C77" s="2">
        <f t="shared" si="7"/>
        <v>1524.1346725396656</v>
      </c>
      <c r="D77">
        <v>0.654497</v>
      </c>
      <c r="E77">
        <v>2.20816E-2</v>
      </c>
      <c r="F77">
        <v>9.6349799999999999E-2</v>
      </c>
      <c r="G77">
        <v>0.59946600000000005</v>
      </c>
      <c r="H77">
        <f t="shared" si="8"/>
        <v>-1.8409233977240294</v>
      </c>
      <c r="I77">
        <f t="shared" si="8"/>
        <v>-16.559694614683927</v>
      </c>
      <c r="J77">
        <f t="shared" si="8"/>
        <v>-10.161491825029396</v>
      </c>
      <c r="K77">
        <f t="shared" si="8"/>
        <v>-2.2223544380970268</v>
      </c>
      <c r="L77">
        <f t="shared" si="9"/>
        <v>14.718771216959897</v>
      </c>
      <c r="M77">
        <f t="shared" si="10"/>
        <v>7.9391373869323694</v>
      </c>
    </row>
    <row r="78" spans="1:13" x14ac:dyDescent="0.25">
      <c r="A78" s="1">
        <v>196960000000000</v>
      </c>
      <c r="B78" s="1">
        <f t="shared" si="6"/>
        <v>1.5231519090170593E-6</v>
      </c>
      <c r="C78" s="2">
        <f t="shared" si="7"/>
        <v>1523.1519090170593</v>
      </c>
      <c r="D78">
        <v>0.65427800000000003</v>
      </c>
      <c r="E78">
        <v>2.8863799999999998E-2</v>
      </c>
      <c r="F78">
        <v>9.6236500000000003E-2</v>
      </c>
      <c r="G78">
        <v>0.60039900000000002</v>
      </c>
      <c r="H78">
        <f t="shared" si="8"/>
        <v>-1.8423768254319928</v>
      </c>
      <c r="I78">
        <f t="shared" si="8"/>
        <v>-15.396464933952652</v>
      </c>
      <c r="J78">
        <f t="shared" si="8"/>
        <v>-10.166601801229822</v>
      </c>
      <c r="K78">
        <f t="shared" si="8"/>
        <v>-2.2156003977127816</v>
      </c>
      <c r="L78">
        <f t="shared" si="9"/>
        <v>13.554088108520659</v>
      </c>
      <c r="M78">
        <f t="shared" si="10"/>
        <v>7.95100140351704</v>
      </c>
    </row>
    <row r="79" spans="1:13" x14ac:dyDescent="0.25">
      <c r="A79" s="1">
        <v>197086000000000</v>
      </c>
      <c r="B79" s="1">
        <f t="shared" si="6"/>
        <v>1.5221781354332626E-6</v>
      </c>
      <c r="C79" s="2">
        <f t="shared" si="7"/>
        <v>1522.1781354332627</v>
      </c>
      <c r="D79">
        <v>0.64926300000000003</v>
      </c>
      <c r="E79">
        <v>3.6268799999999997E-2</v>
      </c>
      <c r="F79">
        <v>9.6090300000000003E-2</v>
      </c>
      <c r="G79">
        <v>0.60132200000000002</v>
      </c>
      <c r="H79">
        <f t="shared" si="8"/>
        <v>-1.8757934586232237</v>
      </c>
      <c r="I79">
        <f t="shared" si="8"/>
        <v>-14.404668133746167</v>
      </c>
      <c r="J79">
        <f t="shared" si="8"/>
        <v>-10.173204507195319</v>
      </c>
      <c r="K79">
        <f t="shared" si="8"/>
        <v>-2.2089290674186257</v>
      </c>
      <c r="L79">
        <f t="shared" si="9"/>
        <v>12.528874675122943</v>
      </c>
      <c r="M79">
        <f t="shared" si="10"/>
        <v>7.9642754397766931</v>
      </c>
    </row>
    <row r="80" spans="1:13" x14ac:dyDescent="0.25">
      <c r="A80" s="1">
        <v>197212000000000</v>
      </c>
      <c r="B80" s="1">
        <f t="shared" si="6"/>
        <v>1.5212056061497272E-6</v>
      </c>
      <c r="C80" s="2">
        <f t="shared" si="7"/>
        <v>1521.2056061497271</v>
      </c>
      <c r="D80">
        <v>0.64581599999999995</v>
      </c>
      <c r="E80">
        <v>4.3855999999999999E-2</v>
      </c>
      <c r="F80">
        <v>9.5904500000000004E-2</v>
      </c>
      <c r="G80">
        <v>0.60224599999999995</v>
      </c>
      <c r="H80">
        <f t="shared" si="8"/>
        <v>-1.8989119960124641</v>
      </c>
      <c r="I80">
        <f t="shared" si="8"/>
        <v>-13.579709818045769</v>
      </c>
      <c r="J80">
        <f t="shared" si="8"/>
        <v>-10.181610145257103</v>
      </c>
      <c r="K80">
        <f t="shared" si="8"/>
        <v>-2.2022607581894507</v>
      </c>
      <c r="L80">
        <f t="shared" si="9"/>
        <v>11.680797822033306</v>
      </c>
      <c r="M80">
        <f t="shared" si="10"/>
        <v>7.9793493870676526</v>
      </c>
    </row>
    <row r="81" spans="1:13" x14ac:dyDescent="0.25">
      <c r="A81" s="1">
        <v>197338000000000</v>
      </c>
      <c r="B81" s="1">
        <f t="shared" si="6"/>
        <v>1.5202343187830018E-6</v>
      </c>
      <c r="C81" s="2">
        <f t="shared" si="7"/>
        <v>1520.2343187830018</v>
      </c>
      <c r="D81">
        <v>0.63982899999999998</v>
      </c>
      <c r="E81">
        <v>5.1064999999999999E-2</v>
      </c>
      <c r="F81">
        <v>9.5674200000000001E-2</v>
      </c>
      <c r="G81">
        <v>0.60317699999999996</v>
      </c>
      <c r="H81">
        <f t="shared" si="8"/>
        <v>-1.9393607957771737</v>
      </c>
      <c r="I81">
        <f t="shared" si="8"/>
        <v>-12.918766637562729</v>
      </c>
      <c r="J81">
        <f t="shared" si="8"/>
        <v>-10.192051605331793</v>
      </c>
      <c r="K81">
        <f t="shared" si="8"/>
        <v>-2.1955522709107491</v>
      </c>
      <c r="L81">
        <f t="shared" si="9"/>
        <v>10.979405841785557</v>
      </c>
      <c r="M81">
        <f t="shared" si="10"/>
        <v>7.9964993344210438</v>
      </c>
    </row>
    <row r="82" spans="1:13" x14ac:dyDescent="0.25">
      <c r="A82" s="1">
        <v>197464000000000</v>
      </c>
      <c r="B82" s="1">
        <f t="shared" si="6"/>
        <v>1.5192642709557185E-6</v>
      </c>
      <c r="C82" s="2">
        <f t="shared" si="7"/>
        <v>1519.2642709557185</v>
      </c>
      <c r="D82">
        <v>0.63495599999999996</v>
      </c>
      <c r="E82">
        <v>5.8629100000000003E-2</v>
      </c>
      <c r="F82">
        <v>9.5396499999999995E-2</v>
      </c>
      <c r="G82">
        <v>0.60412200000000005</v>
      </c>
      <c r="H82">
        <f t="shared" si="8"/>
        <v>-1.9725636859664948</v>
      </c>
      <c r="I82">
        <f t="shared" si="8"/>
        <v>-12.318867725051861</v>
      </c>
      <c r="J82">
        <f t="shared" si="8"/>
        <v>-10.204675588238976</v>
      </c>
      <c r="K82">
        <f t="shared" si="8"/>
        <v>-2.1887534850388981</v>
      </c>
      <c r="L82">
        <f t="shared" si="9"/>
        <v>10.346304039085366</v>
      </c>
      <c r="M82">
        <f t="shared" si="10"/>
        <v>8.0159221032000776</v>
      </c>
    </row>
    <row r="83" spans="1:13" x14ac:dyDescent="0.25">
      <c r="A83" s="1">
        <v>197590000000000</v>
      </c>
      <c r="B83" s="1">
        <f t="shared" si="6"/>
        <v>1.5182954602965737E-6</v>
      </c>
      <c r="C83" s="2">
        <f t="shared" si="7"/>
        <v>1518.2954602965738</v>
      </c>
      <c r="D83">
        <v>0.629274</v>
      </c>
      <c r="E83">
        <v>6.5696699999999997E-2</v>
      </c>
      <c r="F83">
        <v>9.5070199999999994E-2</v>
      </c>
      <c r="G83">
        <v>0.60508499999999998</v>
      </c>
      <c r="H83">
        <f t="shared" si="8"/>
        <v>-2.0116021182441575</v>
      </c>
      <c r="I83">
        <f t="shared" si="8"/>
        <v>-11.824564448661611</v>
      </c>
      <c r="J83">
        <f t="shared" si="8"/>
        <v>-10.219555924600275</v>
      </c>
      <c r="K83">
        <f t="shared" si="8"/>
        <v>-2.1818361305331626</v>
      </c>
      <c r="L83">
        <f t="shared" si="9"/>
        <v>9.812962330417454</v>
      </c>
      <c r="M83">
        <f t="shared" si="10"/>
        <v>8.0377197940671117</v>
      </c>
    </row>
    <row r="84" spans="1:13" x14ac:dyDescent="0.25">
      <c r="A84" s="1">
        <v>197717000000000</v>
      </c>
      <c r="B84" s="1">
        <f t="shared" si="6"/>
        <v>1.5173202101994264E-6</v>
      </c>
      <c r="C84" s="2">
        <f t="shared" si="7"/>
        <v>1517.3202101994264</v>
      </c>
      <c r="D84">
        <v>0.62346299999999999</v>
      </c>
      <c r="E84">
        <v>7.3467199999999996E-2</v>
      </c>
      <c r="F84">
        <v>9.4695799999999997E-2</v>
      </c>
      <c r="G84">
        <v>0.60606899999999997</v>
      </c>
      <c r="H84">
        <f t="shared" si="8"/>
        <v>-2.0518931503649371</v>
      </c>
      <c r="I84">
        <f t="shared" si="8"/>
        <v>-11.339065117783505</v>
      </c>
      <c r="J84">
        <f t="shared" si="8"/>
        <v>-10.236692826363647</v>
      </c>
      <c r="K84">
        <f t="shared" si="8"/>
        <v>-2.1747792927698528</v>
      </c>
      <c r="L84">
        <f t="shared" si="9"/>
        <v>9.2871719674185691</v>
      </c>
      <c r="M84">
        <f t="shared" si="10"/>
        <v>8.0619135335937955</v>
      </c>
    </row>
    <row r="85" spans="1:13" x14ac:dyDescent="0.25">
      <c r="A85" s="1">
        <v>197843000000000</v>
      </c>
      <c r="B85" s="1">
        <f t="shared" si="6"/>
        <v>1.5163538765586853E-6</v>
      </c>
      <c r="C85" s="2">
        <f t="shared" si="7"/>
        <v>1516.3538765586854</v>
      </c>
      <c r="D85">
        <v>0.61819900000000005</v>
      </c>
      <c r="E85">
        <v>8.0923999999999996E-2</v>
      </c>
      <c r="F85">
        <v>9.4274899999999995E-2</v>
      </c>
      <c r="G85">
        <v>0.60707599999999995</v>
      </c>
      <c r="H85">
        <f t="shared" si="8"/>
        <v>-2.0887170178781114</v>
      </c>
      <c r="I85">
        <f t="shared" si="8"/>
        <v>-10.919226585879194</v>
      </c>
      <c r="J85">
        <f t="shared" si="8"/>
        <v>-10.256039195902948</v>
      </c>
      <c r="K85">
        <f t="shared" si="8"/>
        <v>-2.1675693608372137</v>
      </c>
      <c r="L85">
        <f t="shared" si="9"/>
        <v>8.8305095680010837</v>
      </c>
      <c r="M85">
        <f t="shared" si="10"/>
        <v>8.0884698350657338</v>
      </c>
    </row>
    <row r="86" spans="1:13" x14ac:dyDescent="0.25">
      <c r="A86" s="1">
        <v>197969000000000</v>
      </c>
      <c r="B86" s="1">
        <f t="shared" si="6"/>
        <v>1.5153887729897104E-6</v>
      </c>
      <c r="C86" s="2">
        <f t="shared" si="7"/>
        <v>1515.3887729897103</v>
      </c>
      <c r="D86">
        <v>0.61179600000000001</v>
      </c>
      <c r="E86">
        <v>8.9026599999999997E-2</v>
      </c>
      <c r="F86">
        <v>9.3809799999999999E-2</v>
      </c>
      <c r="G86">
        <v>0.60811000000000004</v>
      </c>
      <c r="H86">
        <f t="shared" si="8"/>
        <v>-2.1339336681457413</v>
      </c>
      <c r="I86">
        <f t="shared" si="8"/>
        <v>-10.504802123751148</v>
      </c>
      <c r="J86">
        <f t="shared" si="8"/>
        <v>-10.277517899407085</v>
      </c>
      <c r="K86">
        <f t="shared" si="8"/>
        <v>-2.160178548193461</v>
      </c>
      <c r="L86">
        <f t="shared" si="9"/>
        <v>8.3708684556054074</v>
      </c>
      <c r="M86">
        <f t="shared" si="10"/>
        <v>8.1173393512136247</v>
      </c>
    </row>
    <row r="87" spans="1:13" x14ac:dyDescent="0.25">
      <c r="A87" s="1">
        <v>198095000000000</v>
      </c>
      <c r="B87" s="1">
        <f t="shared" si="6"/>
        <v>1.514424897145309E-6</v>
      </c>
      <c r="C87" s="2">
        <f t="shared" si="7"/>
        <v>1514.4248971453089</v>
      </c>
      <c r="D87">
        <v>0.60671900000000001</v>
      </c>
      <c r="E87">
        <v>9.6901200000000007E-2</v>
      </c>
      <c r="F87">
        <v>9.3302800000000005E-2</v>
      </c>
      <c r="G87">
        <v>0.60917399999999999</v>
      </c>
      <c r="H87">
        <f t="shared" si="8"/>
        <v>-2.1701240448573347</v>
      </c>
      <c r="I87">
        <f t="shared" si="8"/>
        <v>-10.136708447226985</v>
      </c>
      <c r="J87">
        <f t="shared" si="8"/>
        <v>-10.301053229597937</v>
      </c>
      <c r="K87">
        <f t="shared" si="8"/>
        <v>-2.1525864095236766</v>
      </c>
      <c r="L87">
        <f t="shared" si="9"/>
        <v>7.9665844023696497</v>
      </c>
      <c r="M87">
        <f t="shared" si="10"/>
        <v>8.14846682007426</v>
      </c>
    </row>
    <row r="88" spans="1:13" x14ac:dyDescent="0.25">
      <c r="A88" s="1">
        <v>198221000000000</v>
      </c>
      <c r="B88" s="1">
        <f t="shared" si="6"/>
        <v>1.5134622466842566E-6</v>
      </c>
      <c r="C88" s="2">
        <f t="shared" si="7"/>
        <v>1513.4622466842566</v>
      </c>
      <c r="D88">
        <v>0.59979400000000005</v>
      </c>
      <c r="E88">
        <v>0.104781</v>
      </c>
      <c r="F88">
        <v>9.2756699999999997E-2</v>
      </c>
      <c r="G88">
        <v>0.61027399999999998</v>
      </c>
      <c r="H88">
        <f t="shared" si="8"/>
        <v>-2.2199788299117102</v>
      </c>
      <c r="I88">
        <f t="shared" si="8"/>
        <v>-9.7971746108553877</v>
      </c>
      <c r="J88">
        <f t="shared" si="8"/>
        <v>-10.32654710630039</v>
      </c>
      <c r="K88">
        <f t="shared" si="8"/>
        <v>-2.1447513225061634</v>
      </c>
      <c r="L88">
        <f t="shared" si="9"/>
        <v>7.5771957809436774</v>
      </c>
      <c r="M88">
        <f t="shared" si="10"/>
        <v>8.181795783794227</v>
      </c>
    </row>
    <row r="89" spans="1:13" x14ac:dyDescent="0.25">
      <c r="A89" s="1">
        <v>198348000000000</v>
      </c>
      <c r="B89" s="1">
        <f t="shared" si="6"/>
        <v>1.512493193780628E-6</v>
      </c>
      <c r="C89" s="2">
        <f t="shared" si="7"/>
        <v>1512.493193780628</v>
      </c>
      <c r="D89">
        <v>0.59429699999999996</v>
      </c>
      <c r="E89">
        <v>0.11225599999999999</v>
      </c>
      <c r="F89">
        <v>9.21738E-2</v>
      </c>
      <c r="G89">
        <v>0.61141999999999996</v>
      </c>
      <c r="H89">
        <f t="shared" si="8"/>
        <v>-2.2599646204657629</v>
      </c>
      <c r="I89">
        <f t="shared" si="8"/>
        <v>-9.4979043698609118</v>
      </c>
      <c r="J89">
        <f t="shared" si="8"/>
        <v>-10.353925077144762</v>
      </c>
      <c r="K89">
        <f t="shared" si="8"/>
        <v>-2.1366035928416034</v>
      </c>
      <c r="L89">
        <f t="shared" si="9"/>
        <v>7.2379397493951494</v>
      </c>
      <c r="M89">
        <f t="shared" si="10"/>
        <v>8.2173214843031595</v>
      </c>
    </row>
    <row r="90" spans="1:13" x14ac:dyDescent="0.25">
      <c r="A90" s="1">
        <v>198474000000000</v>
      </c>
      <c r="B90" s="1">
        <f t="shared" si="6"/>
        <v>1.5115329967653194E-6</v>
      </c>
      <c r="C90" s="2">
        <f t="shared" si="7"/>
        <v>1511.5329967653195</v>
      </c>
      <c r="D90">
        <v>0.58706700000000001</v>
      </c>
      <c r="E90">
        <v>0.118824</v>
      </c>
      <c r="F90">
        <v>9.1557100000000002E-2</v>
      </c>
      <c r="G90">
        <v>0.61261900000000002</v>
      </c>
      <c r="H90">
        <f t="shared" si="8"/>
        <v>-2.3131233134214555</v>
      </c>
      <c r="I90">
        <f t="shared" si="8"/>
        <v>-9.250958319569099</v>
      </c>
      <c r="J90">
        <f t="shared" si="8"/>
        <v>-10.383079717198999</v>
      </c>
      <c r="K90">
        <f t="shared" si="8"/>
        <v>-2.1280953794538511</v>
      </c>
      <c r="L90">
        <f t="shared" si="9"/>
        <v>6.9378350061476439</v>
      </c>
      <c r="M90">
        <f t="shared" si="10"/>
        <v>8.2549843377451477</v>
      </c>
    </row>
    <row r="91" spans="1:13" x14ac:dyDescent="0.25">
      <c r="A91" s="1">
        <v>198600000000000</v>
      </c>
      <c r="B91" s="1">
        <f t="shared" si="6"/>
        <v>1.5105740181268883E-6</v>
      </c>
      <c r="C91" s="2">
        <f t="shared" si="7"/>
        <v>1510.5740181268882</v>
      </c>
      <c r="D91">
        <v>0.58124600000000004</v>
      </c>
      <c r="E91">
        <v>0.124866</v>
      </c>
      <c r="F91">
        <v>9.0909699999999996E-2</v>
      </c>
      <c r="G91">
        <v>0.61388100000000001</v>
      </c>
      <c r="H91">
        <f t="shared" si="8"/>
        <v>-2.3564002280548215</v>
      </c>
      <c r="I91">
        <f t="shared" si="8"/>
        <v>-9.0355580039716177</v>
      </c>
      <c r="J91">
        <f t="shared" si="8"/>
        <v>-10.413897753949438</v>
      </c>
      <c r="K91">
        <f t="shared" si="8"/>
        <v>-2.1191580809689903</v>
      </c>
      <c r="L91">
        <f t="shared" si="9"/>
        <v>6.6791577759167957</v>
      </c>
      <c r="M91">
        <f t="shared" si="10"/>
        <v>8.2947396729804481</v>
      </c>
    </row>
    <row r="92" spans="1:13" x14ac:dyDescent="0.25">
      <c r="A92" s="1">
        <v>198726000000000</v>
      </c>
      <c r="B92" s="1">
        <f t="shared" si="6"/>
        <v>1.5096162555478396E-6</v>
      </c>
      <c r="C92" s="2">
        <f t="shared" si="7"/>
        <v>1509.6162555478397</v>
      </c>
      <c r="D92">
        <v>0.574681</v>
      </c>
      <c r="E92">
        <v>0.12950900000000001</v>
      </c>
      <c r="F92">
        <v>9.0235899999999994E-2</v>
      </c>
      <c r="G92">
        <v>0.61521199999999998</v>
      </c>
      <c r="H92">
        <f t="shared" si="8"/>
        <v>-2.4057316119510181</v>
      </c>
      <c r="I92">
        <f t="shared" si="8"/>
        <v>-8.8770005000341197</v>
      </c>
      <c r="J92">
        <f t="shared" si="8"/>
        <v>-10.446206457169767</v>
      </c>
      <c r="K92">
        <f t="shared" si="8"/>
        <v>-2.1097520200546187</v>
      </c>
      <c r="L92">
        <f t="shared" si="9"/>
        <v>6.4712688880831015</v>
      </c>
      <c r="M92">
        <f t="shared" si="10"/>
        <v>8.3364544371151474</v>
      </c>
    </row>
    <row r="93" spans="1:13" x14ac:dyDescent="0.25">
      <c r="A93" s="1">
        <v>198852000000000</v>
      </c>
      <c r="B93" s="1">
        <f t="shared" si="6"/>
        <v>1.508659706716553E-6</v>
      </c>
      <c r="C93" s="2">
        <f t="shared" si="7"/>
        <v>1508.659706716553</v>
      </c>
      <c r="D93">
        <v>0.56917799999999996</v>
      </c>
      <c r="E93">
        <v>0.13378300000000001</v>
      </c>
      <c r="F93">
        <v>8.9540900000000007E-2</v>
      </c>
      <c r="G93">
        <v>0.61661900000000003</v>
      </c>
      <c r="H93">
        <f t="shared" si="8"/>
        <v>-2.4475189471433527</v>
      </c>
      <c r="I93">
        <f t="shared" si="8"/>
        <v>-8.7359906949238955</v>
      </c>
      <c r="J93">
        <f t="shared" si="8"/>
        <v>-10.479785447183838</v>
      </c>
      <c r="K93">
        <f t="shared" si="8"/>
        <v>-2.0998309740382473</v>
      </c>
      <c r="L93">
        <f t="shared" si="9"/>
        <v>6.2884717477805427</v>
      </c>
      <c r="M93">
        <f t="shared" si="10"/>
        <v>8.3799544731455917</v>
      </c>
    </row>
    <row r="94" spans="1:13" x14ac:dyDescent="0.25">
      <c r="A94" s="1">
        <v>198978000000000</v>
      </c>
      <c r="B94" s="1">
        <f t="shared" si="6"/>
        <v>1.5077043693272622E-6</v>
      </c>
      <c r="C94" s="2">
        <f t="shared" si="7"/>
        <v>1507.7043693272622</v>
      </c>
      <c r="D94">
        <v>0.56386700000000001</v>
      </c>
      <c r="E94">
        <v>0.136632</v>
      </c>
      <c r="F94">
        <v>8.8831499999999994E-2</v>
      </c>
      <c r="G94">
        <v>0.61810100000000001</v>
      </c>
      <c r="H94">
        <f t="shared" si="8"/>
        <v>-2.4882332150895574</v>
      </c>
      <c r="I94">
        <f t="shared" si="8"/>
        <v>-8.6444757447684637</v>
      </c>
      <c r="J94">
        <f t="shared" si="8"/>
        <v>-10.514330043750784</v>
      </c>
      <c r="K94">
        <f t="shared" si="8"/>
        <v>-2.0894055378055674</v>
      </c>
      <c r="L94">
        <f t="shared" si="9"/>
        <v>6.1562425296789058</v>
      </c>
      <c r="M94">
        <f t="shared" si="10"/>
        <v>8.4249245059452171</v>
      </c>
    </row>
    <row r="95" spans="1:13" x14ac:dyDescent="0.25">
      <c r="A95" s="1">
        <v>199105000000000</v>
      </c>
      <c r="B95" s="1">
        <f t="shared" si="6"/>
        <v>1.5067426734637503E-6</v>
      </c>
      <c r="C95" s="2">
        <f t="shared" si="7"/>
        <v>1506.7426734637504</v>
      </c>
      <c r="D95">
        <v>0.55883300000000002</v>
      </c>
      <c r="E95">
        <v>0.139235</v>
      </c>
      <c r="F95">
        <v>8.8115499999999999E-2</v>
      </c>
      <c r="G95">
        <v>0.61965499999999996</v>
      </c>
      <c r="H95">
        <f t="shared" si="8"/>
        <v>-2.5271795600320495</v>
      </c>
      <c r="I95">
        <f t="shared" si="8"/>
        <v>-8.5625158084450312</v>
      </c>
      <c r="J95">
        <f t="shared" si="8"/>
        <v>-10.549476900853957</v>
      </c>
      <c r="K95">
        <f t="shared" si="8"/>
        <v>-2.0785004162875311</v>
      </c>
      <c r="L95">
        <f t="shared" si="9"/>
        <v>6.0353362484129818</v>
      </c>
      <c r="M95">
        <f t="shared" si="10"/>
        <v>8.4709764845664264</v>
      </c>
    </row>
    <row r="96" spans="1:13" x14ac:dyDescent="0.25">
      <c r="A96" s="1">
        <v>199231000000000</v>
      </c>
      <c r="B96" s="1">
        <f t="shared" si="6"/>
        <v>1.5057897616334808E-6</v>
      </c>
      <c r="C96" s="2">
        <f t="shared" si="7"/>
        <v>1505.7897616334808</v>
      </c>
      <c r="D96">
        <v>0.55472200000000005</v>
      </c>
      <c r="E96">
        <v>0.14075699999999999</v>
      </c>
      <c r="F96">
        <v>8.7401999999999994E-2</v>
      </c>
      <c r="G96">
        <v>0.62127699999999997</v>
      </c>
      <c r="H96">
        <f t="shared" si="8"/>
        <v>-2.5592460987538042</v>
      </c>
      <c r="I96">
        <f t="shared" si="8"/>
        <v>-8.5152999799861071</v>
      </c>
      <c r="J96">
        <f t="shared" si="8"/>
        <v>-10.584786293904727</v>
      </c>
      <c r="K96">
        <f t="shared" si="8"/>
        <v>-2.0671472389851591</v>
      </c>
      <c r="L96">
        <f t="shared" si="9"/>
        <v>5.9560538812323029</v>
      </c>
      <c r="M96">
        <f t="shared" si="10"/>
        <v>8.5176390549195684</v>
      </c>
    </row>
    <row r="97" spans="1:13" x14ac:dyDescent="0.25">
      <c r="A97" s="1">
        <v>199357000000000</v>
      </c>
      <c r="B97" s="1">
        <f t="shared" si="6"/>
        <v>1.5048380543447182E-6</v>
      </c>
      <c r="C97" s="2">
        <f t="shared" si="7"/>
        <v>1504.8380543447183</v>
      </c>
      <c r="D97">
        <v>0.55018599999999995</v>
      </c>
      <c r="E97">
        <v>0.14216699999999999</v>
      </c>
      <c r="F97">
        <v>8.6700299999999994E-2</v>
      </c>
      <c r="G97">
        <v>0.62295500000000004</v>
      </c>
      <c r="H97">
        <f t="shared" si="8"/>
        <v>-2.5949046483710814</v>
      </c>
      <c r="I97">
        <f t="shared" si="8"/>
        <v>-8.4720120094185862</v>
      </c>
      <c r="J97">
        <f t="shared" si="8"/>
        <v>-10.619793997773172</v>
      </c>
      <c r="K97">
        <f t="shared" si="8"/>
        <v>-2.0554332405918561</v>
      </c>
      <c r="L97">
        <f t="shared" si="9"/>
        <v>5.8771073610475053</v>
      </c>
      <c r="M97">
        <f t="shared" si="10"/>
        <v>8.5643607571813156</v>
      </c>
    </row>
    <row r="98" spans="1:13" x14ac:dyDescent="0.25">
      <c r="A98" s="1">
        <v>199483000000000</v>
      </c>
      <c r="B98" s="1">
        <f t="shared" si="6"/>
        <v>1.5038875493149793E-6</v>
      </c>
      <c r="C98" s="2">
        <f t="shared" si="7"/>
        <v>1503.8875493149794</v>
      </c>
      <c r="D98">
        <v>0.54689299999999996</v>
      </c>
      <c r="E98">
        <v>0.14316000000000001</v>
      </c>
      <c r="F98">
        <v>8.6019999999999999E-2</v>
      </c>
      <c r="G98">
        <v>0.62468000000000001</v>
      </c>
      <c r="H98">
        <f t="shared" si="8"/>
        <v>-2.6209763537619142</v>
      </c>
      <c r="I98">
        <f t="shared" si="8"/>
        <v>-8.4417831028203327</v>
      </c>
      <c r="J98">
        <f t="shared" si="8"/>
        <v>-10.654005617819269</v>
      </c>
      <c r="K98">
        <f t="shared" si="8"/>
        <v>-2.0434239837394306</v>
      </c>
      <c r="L98">
        <f t="shared" si="9"/>
        <v>5.8208067490584181</v>
      </c>
      <c r="M98">
        <f t="shared" si="10"/>
        <v>8.6105816340798391</v>
      </c>
    </row>
    <row r="99" spans="1:13" x14ac:dyDescent="0.25">
      <c r="A99" s="1">
        <v>199609000000000</v>
      </c>
      <c r="B99" s="1">
        <f t="shared" si="6"/>
        <v>1.5029382442675431E-6</v>
      </c>
      <c r="C99" s="2">
        <f t="shared" si="7"/>
        <v>1502.938244267543</v>
      </c>
      <c r="D99">
        <v>0.54262999999999995</v>
      </c>
      <c r="E99">
        <v>0.14418700000000001</v>
      </c>
      <c r="F99">
        <v>8.5370299999999996E-2</v>
      </c>
      <c r="G99">
        <v>0.62644100000000003</v>
      </c>
      <c r="H99">
        <f t="shared" si="8"/>
        <v>-2.6549619937963378</v>
      </c>
      <c r="I99">
        <f t="shared" si="8"/>
        <v>-8.4107389414344826</v>
      </c>
      <c r="J99">
        <f t="shared" si="8"/>
        <v>-10.686931924202426</v>
      </c>
      <c r="K99">
        <f t="shared" si="8"/>
        <v>-2.031198258366878</v>
      </c>
      <c r="L99">
        <f t="shared" si="9"/>
        <v>5.7557769476381448</v>
      </c>
      <c r="M99">
        <f t="shared" si="10"/>
        <v>8.6557336658355482</v>
      </c>
    </row>
    <row r="100" spans="1:13" x14ac:dyDescent="0.25">
      <c r="A100" s="1">
        <v>199735000000000</v>
      </c>
      <c r="B100" s="1">
        <f t="shared" si="6"/>
        <v>1.501990136931434E-6</v>
      </c>
      <c r="C100" s="2">
        <f t="shared" si="7"/>
        <v>1501.9901369314341</v>
      </c>
      <c r="D100">
        <v>0.53944800000000004</v>
      </c>
      <c r="E100">
        <v>0.14561099999999999</v>
      </c>
      <c r="F100">
        <v>8.4759299999999996E-2</v>
      </c>
      <c r="G100">
        <v>0.62822599999999995</v>
      </c>
      <c r="H100">
        <f t="shared" si="8"/>
        <v>-2.6805041270763463</v>
      </c>
      <c r="I100">
        <f t="shared" si="8"/>
        <v>-8.3680581555285034</v>
      </c>
      <c r="J100">
        <f t="shared" si="8"/>
        <v>-10.718126386459135</v>
      </c>
      <c r="K100">
        <f t="shared" si="8"/>
        <v>-2.0188409368908067</v>
      </c>
      <c r="L100">
        <f t="shared" si="9"/>
        <v>5.6875540284521566</v>
      </c>
      <c r="M100">
        <f t="shared" si="10"/>
        <v>8.6992854495683289</v>
      </c>
    </row>
    <row r="101" spans="1:13" x14ac:dyDescent="0.25">
      <c r="A101" s="1">
        <v>199862000000000</v>
      </c>
      <c r="B101" s="1">
        <f t="shared" si="6"/>
        <v>1.5010357146431037E-6</v>
      </c>
      <c r="C101" s="2">
        <f t="shared" si="7"/>
        <v>1501.0357146431038</v>
      </c>
      <c r="D101">
        <v>0.53534300000000001</v>
      </c>
      <c r="E101">
        <v>0.147261</v>
      </c>
      <c r="F101">
        <v>8.4194199999999997E-2</v>
      </c>
      <c r="G101">
        <v>0.63002800000000003</v>
      </c>
      <c r="H101">
        <f t="shared" si="8"/>
        <v>-2.7136787166849157</v>
      </c>
      <c r="I101">
        <f t="shared" si="8"/>
        <v>-8.3191225470131549</v>
      </c>
      <c r="J101">
        <f t="shared" si="8"/>
        <v>-10.747178253026636</v>
      </c>
      <c r="K101">
        <f t="shared" si="8"/>
        <v>-2.0064014899836491</v>
      </c>
      <c r="L101">
        <f t="shared" si="9"/>
        <v>5.6054438303282392</v>
      </c>
      <c r="M101">
        <f t="shared" si="10"/>
        <v>8.7407767630429873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 Appu-Hennadi Appu Hennadi Thotahewage</dc:creator>
  <cp:lastModifiedBy>DilshaAppu-Hennadi Appu Hennadi Thotahewage</cp:lastModifiedBy>
  <dcterms:created xsi:type="dcterms:W3CDTF">2015-06-05T18:17:20Z</dcterms:created>
  <dcterms:modified xsi:type="dcterms:W3CDTF">2026-09-01T16:54:38Z</dcterms:modified>
</cp:coreProperties>
</file>